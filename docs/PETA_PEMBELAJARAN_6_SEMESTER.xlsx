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9e5650015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AI DI SINI" sheetId="1" r:id="R3dee54cb4fb143cb"/>
    <x:sheet xmlns:r="http://schemas.openxmlformats.org/officeDocument/2006/relationships" name="RINGKASAN" sheetId="2" r:id="R2ffe9198c9604c09"/>
    <x:sheet xmlns:r="http://schemas.openxmlformats.org/officeDocument/2006/relationships" name="REFERENSI CP" sheetId="3" r:id="R5f2647dab9424b60"/>
    <x:sheet xmlns:r="http://schemas.openxmlformats.org/officeDocument/2006/relationships" name="SEMESTER 1" sheetId="4" r:id="R54ef7d49e35f4849"/>
    <x:sheet xmlns:r="http://schemas.openxmlformats.org/officeDocument/2006/relationships" name="SEMESTER 2" sheetId="5" r:id="R6f11c062a8274a40"/>
    <x:sheet xmlns:r="http://schemas.openxmlformats.org/officeDocument/2006/relationships" name="SEMESTER 3" sheetId="6" r:id="R39833ca252264ec7"/>
    <x:sheet xmlns:r="http://schemas.openxmlformats.org/officeDocument/2006/relationships" name="SEMESTER 4" sheetId="7" r:id="R1b7d2684826f48dc"/>
    <x:sheet xmlns:r="http://schemas.openxmlformats.org/officeDocument/2006/relationships" name="SEMESTER 5" sheetId="8" r:id="R5a3582978acd4b08"/>
    <x:sheet xmlns:r="http://schemas.openxmlformats.org/officeDocument/2006/relationships" name="SEMESTER 6" sheetId="9" r:id="Radbb1c1b5efc4553"/>
    <x:sheet xmlns:r="http://schemas.openxmlformats.org/officeDocument/2006/relationships" name="CONTOH MAT VII" sheetId="10" r:id="Rdb7c2e3b7e0e47fe"/>
  </x:sheets>
</x:workbook>
</file>

<file path=xl/sharedStrings.xml><?xml version="1.0" encoding="utf-8"?>
<x:sst xmlns:x="http://schemas.openxmlformats.org/spreadsheetml/2006/main">
  <x:si>
    <x:t xml:space="preserve">PETA PEMBELAJARAN 6 SEMESTER</x:t>
  </x:si>
  <x:si>
    <x:t xml:space="preserve">01</x:t>
  </x:si>
  <x:si>
    <x:t xml:space="preserve">02</x:t>
  </x:si>
  <x:si>
    <x:t xml:space="preserve">03</x:t>
  </x:si>
  <x:si>
    <x:t xml:space="preserve">04</x:t>
  </x:si>
  <x:si>
    <x:t xml:space="preserve">HAL PENTING SEBELUM MULAI</x:t>
  </x:si>
  <x:si>
    <x:t xml:space="preserve">PILIH TAB DI BAGIAN BAWAH EXCEL</x:t>
  </x:si>
  <x:si>
    <x:t xml:space="preserve">▶ TAB: CONTOH MAT VII</x:t>
  </x:si>
  <x:si>
    <x:t xml:space="preserve">PERIKSA RINGKASAN 6 SEMESTER</x:t>
  </x:si>
  <x:si>
    <x:t xml:space="preserve">▶ TAB: RINGKASAN</x:t>
  </x:si>
  <x:si>
    <x:t xml:space="preserve">GEN</x:t>
  </x:si>
  <x:si>
    <x:t xml:space="preserve">MAPEL</x:t>
  </x:si>
  <x:si>
    <x:t xml:space="preserve">FASE D</x:t>
  </x:si>
  <x:si>
    <x:t xml:space="preserve">GURU</x:t>
  </x:si>
  <x:si>
    <x:t xml:space="preserve">KURIKULUM</x:t>
  </x:si>
  <x:si>
    <x:t xml:space="preserve">VII–IX</x:t>
  </x:si>
  <x:si>
    <x:t xml:space="preserve">PROGRES PERENCANAAN  •  otomatis dari keenam sheet</x:t>
  </x:si>
  <x:si>
    <x:t xml:space="preserve">Semester</x:t>
  </x:si>
  <x:si>
    <x:t xml:space="preserve">Jenjang</x:t>
  </x:si>
  <x:si>
    <x:t xml:space="preserve">Materi terisi</x:t>
  </x:si>
  <x:si>
    <x:t xml:space="preserve">TP lengkap</x:t>
  </x:si>
  <x:si>
    <x:t xml:space="preserve">Perlu dilengkapi</x:t>
  </x:si>
  <x:si>
    <x:t xml:space="preserve">Buka sheet</x:t>
  </x:si>
  <x:si>
    <x:t xml:space="preserve">S1</x:t>
  </x:si>
  <x:si>
    <x:t xml:space="preserve">Kelas VII</x:t>
  </x:si>
  <x:si>
    <x:t xml:space="preserve">TAB: S1</x:t>
  </x:si>
  <x:si>
    <x:t xml:space="preserve">S2</x:t>
  </x:si>
  <x:si>
    <x:t xml:space="preserve">TAB: S2</x:t>
  </x:si>
  <x:si>
    <x:t xml:space="preserve">S3</x:t>
  </x:si>
  <x:si>
    <x:t xml:space="preserve">Kelas VIII</x:t>
  </x:si>
  <x:si>
    <x:t xml:space="preserve">TAB: S3</x:t>
  </x:si>
  <x:si>
    <x:t xml:space="preserve">S4</x:t>
  </x:si>
  <x:si>
    <x:t xml:space="preserve">TAB: S4</x:t>
  </x:si>
  <x:si>
    <x:t xml:space="preserve">S5</x:t>
  </x:si>
  <x:si>
    <x:t xml:space="preserve">Kelas IX</x:t>
  </x:si>
  <x:si>
    <x:t xml:space="preserve">TAB: S5</x:t>
  </x:si>
  <x:si>
    <x:t xml:space="preserve">S6</x:t>
  </x:si>
  <x:si>
    <x:t xml:space="preserve">TAB: S6</x:t>
  </x:si>
  <x:si>
    <x:t xml:space="preserve">TOTAL</x:t>
  </x:si>
  <x:si>
    <x:t xml:space="preserve">6 SEMESTER</x:t>
  </x:si>
  <x:si>
    <x:t xml:space="preserve">Materi terisi: jumlah judul Materi/Subbab yang sudah ditulis.</x:t>
  </x:si>
  <x:si>
    <x:t xml:space="preserve">TP lengkap: judul, rumusan TP, CP, indikator dan minimal satu materi sudah terisi.</x:t>
  </x:si>
  <x:si>
    <x:t xml:space="preserve">KEPUTUSAN STRUKTUR</x:t>
  </x:si>
  <x:si>
    <x:t xml:space="preserve">No</x:t>
  </x:si>
  <x:si>
    <x:t xml:space="preserve">Kode CP resmi</x:t>
  </x:si>
  <x:si>
    <x:t xml:space="preserve">Elemen</x:t>
  </x:si>
  <x:si>
    <x:t xml:space="preserve">Versi</x:t>
  </x:si>
  <x:si>
    <x:t xml:space="preserve">Status CP</x:t>
  </x:si>
  <x:si>
    <x:t xml:space="preserve">PETA PEMBELAJARAN — SEMESTER 1</x:t>
  </x:si>
  <x:si>
    <x:t xml:space="preserve">MATERI TERISI</x:t>
  </x:si>
  <x:si>
    <x:t xml:space="preserve">SEMESTER 1</x:t>
  </x:si>
  <x:si>
    <x:t xml:space="preserve">RUMUSAN TUJUAN PEMBELAJARAN</x:t>
  </x:si>
  <x:si>
    <x:t xml:space="preserve">KODE CP UTAMA</x:t>
  </x:si>
  <x:si>
    <x:t xml:space="preserve">INDIKATOR KETERCAPAIAN</x:t>
  </x:si>
  <x:si>
    <x:t xml:space="preserve">JUMLAH MATERI</x:t>
  </x:si>
  <x:si>
    <x:t xml:space="preserve">STATUS</x:t>
  </x:si>
  <x:si>
    <x:t xml:space="preserve">JUDUL MATERI / SUBBAB</x:t>
  </x:si>
  <x:si>
    <x:t xml:space="preserve">MATERI KE-</x:t>
  </x:si>
  <x:si>
    <x:t xml:space="preserve">RENCANA MEDIA (opsional)</x:t>
  </x:si>
  <x:si>
    <x:t xml:space="preserve">CATATAN (opsional)</x:t>
  </x:si>
  <x:si>
    <x:t xml:space="preserve">PETA PEMBELAJARAN — SEMESTER 2</x:t>
  </x:si>
  <x:si>
    <x:t xml:space="preserve">SEMESTER 2</x:t>
  </x:si>
  <x:si>
    <x:t xml:space="preserve">PETA PEMBELAJARAN — SEMESTER 3</x:t>
  </x:si>
  <x:si>
    <x:t xml:space="preserve">SEMESTER 3</x:t>
  </x:si>
  <x:si>
    <x:t xml:space="preserve">PETA PEMBELAJARAN — SEMESTER 4</x:t>
  </x:si>
  <x:si>
    <x:t xml:space="preserve">SEMESTER 4</x:t>
  </x:si>
  <x:si>
    <x:t xml:space="preserve">PETA PEMBELAJARAN — SEMESTER 5</x:t>
  </x:si>
  <x:si>
    <x:t xml:space="preserve">SEMESTER 5</x:t>
  </x:si>
  <x:si>
    <x:t xml:space="preserve">PETA PEMBELAJARAN — SEMESTER 6</x:t>
  </x:si>
  <x:si>
    <x:t xml:space="preserve">SEMESTER 6</x:t>
  </x:si>
  <x:si>
    <x:t xml:space="preserve">CONTOH TERISI — MATEMATIKA VII</x:t>
  </x:si>
  <x:si>
    <x:t xml:space="preserve">LIHAT POLANYA: 2 TP + 5 MATERI SIMULASI</x:t>
  </x:si>
  <x:si>
    <x:t xml:space="preserve">Memahami Bilangan Bulat</x:t>
  </x:si>
  <x:si>
    <x:t xml:space="preserve">Menjelaskan konsep bilangan bulat dan membandingkan bilangan berdasarkan garis bilangan.</x:t>
  </x:si>
  <x:si>
    <x:t xml:space="preserve">DEMO-CP-01</x:t>
  </x:si>
  <x:si>
    <x:t xml:space="preserve">Menentukan posisi dan mengurutkan bilangan bulat dalam konteks sederhana.</x:t>
  </x:si>
  <x:si>
    <x:t xml:space="preserve">Operasi Bilangan Bulat</x:t>
  </x:si>
  <x:si>
    <x:t xml:space="preserve">Menyelesaikan operasi penjumlahan dan pengurangan bilangan bulat dalam masalah sehari-hari.</x:t>
  </x:si>
  <x:si>
    <x:t xml:space="preserve">Menggunakan aturan operasi dan memeriksa kewajaran hasil perhitungan.</x:t>
  </x:si>
  <x:si>
    <x:t xml:space="preserve">TIPS: jika satu TP membutuhkan 3 Materi, jangan tulis 3 TP. Tuliskan 1 TP di atas, lalu 3 Materi di bawah.</x:t>
  </x:si>
  <x:si>
    <x:t xml:space="preserve">Kolom jenis media dan catatan hanya rencana (opsional). File/video/audio dan Tugas HOTS diisi nanti di aplikasi.</x:t>
  </x:si>
  <x:si>
    <x:t xml:space="preserve">Pengertian Bilangan Bulat</x:t>
  </x:si>
  <x:si>
    <x:t xml:space="preserve">PDF</x:t>
  </x:si>
  <x:si>
    <x:t xml:space="preserve">Bahan ajar berupa contoh suhu positif dan negatif</x:t>
  </x:si>
  <x:si>
    <x:t xml:space="preserve">Garis Bilangan</x:t>
  </x:si>
  <x:si>
    <x:t xml:space="preserve">Video YouTube</x:t>
  </x:si>
  <x:si>
    <x:t xml:space="preserve">Perlihatkan garis bilangan interaktif</x:t>
  </x:si>
  <x:si>
    <x:t xml:space="preserve">Membandingkan Bilangan Bulat</x:t>
  </x:si>
  <x:si>
    <x:t xml:space="preserve">Gambar</x:t>
  </x:si>
  <x:si>
    <x:t xml:space="preserve">Gunakan diagram dan ilustrasi</x:t>
  </x:si>
  <x:si>
    <x:t xml:space="preserve">Penjumlahan Bilangan Bulat</x:t>
  </x:si>
  <x:si>
    <x:t xml:space="preserve">Latihan kontekstual</x:t>
  </x:si>
  <x:si>
    <x:t xml:space="preserve">Pengurangan Bilangan Bulat</x:t>
  </x:si>
  <x:si>
    <x:t xml:space="preserve">Kombinasi</x:t>
  </x:si>
  <x:si>
    <x:t xml:space="preserve">Media dapat disiapkan bertahap</x:t>
  </x:si>
  <x:si>
    <x:t xml:space="preserve">PENTING: jangan memaksakan jumlah TP. Baris yang tidak dipakai boleh dibiarkan kosong.</x:t>
  </x:si>
  <x:si>
    <x:t xml:space="preserve">Kapasitas prototipe per semester: 12 TP dan 60 Materi. Kapasitas produk final dapat dirancang dinamis.</x:t>
  </x:si>
</x:sst>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0"/>
      <x:color rgb="FFB7EEE2"/>
      <x:name val="Aptos"/>
    </x:font>
    <x:font>
      <x:b/>
      <x:sz val="23"/>
      <x:color rgb="FFFFFFFF"/>
      <x:name val="Aptos"/>
    </x:font>
    <x:font>
      <x:sz val="11"/>
      <x:color rgb="FFFFFFFF"/>
      <x:name val="Aptos"/>
    </x:font>
    <x:font>
      <x:b/>
      <x:sz val="13"/>
      <x:color rgb="FF113447"/>
      <x:name val="Aptos"/>
    </x:font>
    <x:font>
      <x:b/>
      <x:sz val="14"/>
      <x:color rgb="FFFFFFFF"/>
      <x:name val="Aptos"/>
    </x:font>
    <x:font>
      <x:b/>
      <x:sz val="12"/>
      <x:color rgb="FF113447"/>
      <x:name val="Aptos"/>
    </x:font>
    <x:font>
      <x:sz val="10"/>
      <x:color rgb="FF193447"/>
      <x:name val="Aptos"/>
    </x:font>
    <x:font>
      <x:b/>
      <x:sz val="12"/>
      <x:color rgb="FFFFFFFF"/>
      <x:name val="Aptos"/>
    </x:font>
    <x:font>
      <x:b/>
      <x:sz val="11"/>
      <x:color rgb="FF113447"/>
      <x:name val="Aptos"/>
    </x:font>
    <x:font>
      <x:b/>
      <x:sz val="11"/>
      <x:color rgb="FF275D83"/>
      <x:name val="Aptos"/>
    </x:font>
    <x:font>
      <x:b/>
      <x:sz val="11"/>
      <x:color rgb="FFFFFFFF"/>
      <x:name val="Aptos"/>
    </x:font>
    <x:font>
      <x:b/>
      <x:sz val="11"/>
      <x:color rgb="FF193447"/>
      <x:name val="Aptos"/>
    </x:font>
    <x:font>
      <x:sz val="11"/>
      <x:color rgb="FF193447"/>
      <x:name val="Aptos"/>
    </x:font>
    <x:font>
      <x:b/>
      <x:sz val="13"/>
      <x:color rgb="FFFFFFFF"/>
      <x:name val="Aptos"/>
    </x:font>
    <x:font>
      <x:b/>
      <x:sz val="10"/>
      <x:color rgb="FFFFFFFF"/>
      <x:name val="Aptos"/>
    </x:font>
    <x:font>
      <x:b/>
      <x:sz val="10"/>
      <x:color rgb="FF087F79"/>
      <x:name val="Aptos"/>
    </x:font>
    <x:font>
      <x:b/>
      <x:sz val="17"/>
      <x:color rgb="FF178660"/>
      <x:name val="Aptos"/>
    </x:font>
    <x:font>
      <x:b/>
      <x:sz val="11"/>
      <x:color rgb="FF087F79"/>
      <x:name val="Aptos"/>
    </x:font>
    <x:font>
      <x:b/>
      <x:sz val="10"/>
      <x:color rgb="FF113447"/>
      <x:name val="Aptos"/>
    </x:font>
    <x:font>
      <x:b/>
      <x:sz val="11"/>
      <x:color rgb="FF178660"/>
      <x:name val="Aptos"/>
    </x:font>
    <x:font>
      <x:sz val="10"/>
      <x:color rgb="FF113447"/>
      <x:name val="Aptos"/>
    </x:font>
    <x:font>
      <x:b/>
      <x:sz val="10"/>
      <x:color rgb="FF178660"/>
      <x:name val="Aptos"/>
    </x:font>
    <x:font>
      <x:b/>
      <x:sz val="10"/>
      <x:color rgb="FF0F766E"/>
      <x:name val="Aptos"/>
    </x:font>
    <x:font>
      <x:sz val="10"/>
      <x:color rgb="FF103D55"/>
      <x:name val="Aptos"/>
    </x:font>
    <x:font>
      <x:b/>
      <x:sz val="10"/>
      <x:color rgb="FF135F92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113447"/>
      </x:patternFill>
    </x:fill>
    <x:fill>
      <x:patternFill patternType="solid">
        <x:fgColor rgb="FF087F79"/>
      </x:patternFill>
    </x:fill>
    <x:fill>
      <x:patternFill patternType="solid">
        <x:fgColor rgb="FFD9F5E8"/>
      </x:patternFill>
    </x:fill>
    <x:fill>
      <x:patternFill patternType="solid">
        <x:fgColor rgb="FFEAF1F3"/>
      </x:patternFill>
    </x:fill>
    <x:fill>
      <x:patternFill patternType="solid">
        <x:fgColor rgb="FFF2F8F7"/>
      </x:patternFill>
    </x:fill>
    <x:fill>
      <x:patternFill patternType="solid">
        <x:fgColor rgb="FFEAF3FF"/>
      </x:patternFill>
    </x:fill>
    <x:fill>
      <x:patternFill patternType="solid">
        <x:fgColor rgb="FFFFF3D9"/>
      </x:patternFill>
    </x:fill>
    <x:fill>
      <x:patternFill patternType="solid">
        <x:fgColor rgb="FFFFFFFF"/>
      </x:patternFill>
    </x:fill>
    <x:fill>
      <x:patternFill patternType="solid">
        <x:fgColor theme="9" tint="0.59999"/>
      </x:patternFill>
    </x:fill>
    <x:fill>
      <x:patternFill patternType="solid">
        <x:fgColor rgb="FFFFFF00"/>
      </x:patternFill>
    </x:fill>
    <x:fill>
      <x:patternFill patternType="solid">
        <x:fgColor theme="9" tint="0.39998"/>
      </x:patternFill>
    </x:fill>
    <x:fill>
      <x:patternFill patternType="solid">
        <x:fgColor theme="7" tint="0.79998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rgb="FFE8F5EF"/>
      </x:patternFill>
    </x:fill>
    <x:fill>
      <x:patternFill patternType="solid">
        <x:fgColor rgb="FFF0F4F7"/>
      </x:patternFill>
    </x:fill>
    <x:fill>
      <x:patternFill patternType="solid">
        <x:fgColor rgb="FFE6F3FB"/>
      </x:patternFill>
    </x:fill>
  </x:fills>
  <x:borders count="4">
    <x:border/>
    <x:border>
      <x:bottom style="dashDot">
        <x:color indexed="64"/>
      </x:bottom>
    </x:border>
    <x:border/>
    <x:border>
      <x:bottom style="dashDot">
        <x:color indexed="64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5" fillId="3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horizontal="left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6" fillId="4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17" fillId="4" borderId="0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20" fillId="4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22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9" fillId="8" borderId="0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9" fillId="11" borderId="0" xfId="0" applyNumberFormat="1" applyFont="1" applyFill="1" applyBorder="1" applyAlignment="1">
      <x:alignment horizontal="left" vertical="center" wrapText="1"/>
    </x:xf>
    <x:xf numFmtId="0" fontId="7" fillId="11" borderId="0" xfId="0" applyNumberFormat="1" applyFont="1" applyFill="1" applyBorder="1" applyAlignment="1">
      <x:alignment horizontal="left" vertical="center" wrapText="1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3" borderId="0" xfId="0" applyNumberFormat="1" applyFont="1" applyFill="1" applyBorder="1" applyAlignment="1">
      <x:alignment horizontal="left" vertical="center" wrapText="1"/>
    </x:xf>
    <x:xf numFmtId="0" fontId="21" fillId="10" borderId="1" xfId="0" applyNumberFormat="1" applyFont="1" applyFill="1" applyBorder="1" applyAlignment="1">
      <x:alignment horizontal="left" vertical="center" wrapText="1"/>
    </x:xf>
    <x:xf numFmtId="0" fontId="21" fillId="10" borderId="0" xfId="0" applyNumberFormat="1" applyFont="1" applyFill="1" applyBorder="1" applyAlignment="1">
      <x:alignment horizontal="left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left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left" vertical="center" wrapText="1"/>
    </x:xf>
    <x:xf numFmtId="0" fontId="13" fillId="6" borderId="2" xfId="0" applyNumberFormat="1" applyFont="1" applyFill="1" applyBorder="1" applyAlignment="1">
      <x:alignment horizontal="left" vertical="center" wrapText="1"/>
    </x:xf>
    <x:xf numFmtId="0" fontId="14" fillId="2" borderId="2" xfId="0" applyNumberFormat="1" applyFont="1" applyFill="1" applyBorder="1" applyAlignment="1">
      <x:alignment horizontal="center" vertical="center" wrapText="1"/>
    </x:xf>
    <x:xf numFmtId="0" fontId="15" fillId="3" borderId="2" xfId="0" applyNumberFormat="1" applyFont="1" applyFill="1" applyBorder="1" applyAlignment="1">
      <x:alignment horizontal="center" vertical="center" wrapText="1"/>
    </x:xf>
    <x:xf numFmtId="0" fontId="16" fillId="4" borderId="2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left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horizontal="center" vertical="center" wrapText="1"/>
    </x:xf>
    <x:xf numFmtId="0" fontId="19" fillId="6" borderId="2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20" fillId="4" borderId="2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left" vertical="center" wrapText="1"/>
    </x:xf>
    <x:xf numFmtId="0" fontId="15" fillId="2" borderId="2" xfId="0" applyNumberFormat="1" applyFont="1" applyFill="1" applyBorder="1" applyAlignment="1">
      <x:alignment horizontal="left" vertical="center" wrapText="1"/>
    </x:xf>
    <x:xf numFmtId="0" fontId="22" fillId="4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6" fillId="5" borderId="2" xfId="0" applyNumberFormat="1" applyFont="1" applyFill="1" applyBorder="1" applyAlignment="1">
      <x:alignment horizontal="left" vertical="center" wrapText="1"/>
    </x:xf>
    <x:xf numFmtId="0" fontId="7" fillId="6" borderId="2" xfId="0" applyNumberFormat="1" applyFont="1" applyFill="1" applyBorder="1" applyAlignment="1">
      <x:alignment horizontal="left" vertical="center" wrapText="1"/>
    </x:xf>
    <x:xf numFmtId="0" fontId="8" fillId="2" borderId="2" xfId="0" applyNumberFormat="1" applyFont="1" applyFill="1" applyBorder="1" applyAlignment="1">
      <x:alignment horizontal="left" vertical="center" wrapText="1"/>
    </x:xf>
    <x:xf numFmtId="0" fontId="10" fillId="7" borderId="2" xfId="0" applyNumberFormat="1" applyFont="1" applyFill="1" applyBorder="1" applyAlignment="1">
      <x:alignment horizontal="left" vertical="center" wrapText="1"/>
    </x:xf>
    <x:xf numFmtId="0" fontId="19" fillId="8" borderId="2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9" fillId="5" borderId="2" xfId="0" applyNumberFormat="1" applyFont="1" applyFill="1" applyBorder="1" applyAlignment="1">
      <x:alignment horizontal="left" vertical="center" wrapText="1"/>
    </x:xf>
    <x:xf numFmtId="0" fontId="9" fillId="10" borderId="2" xfId="0" applyNumberFormat="1" applyFont="1" applyFill="1" applyBorder="1" applyAlignment="1">
      <x:alignment horizontal="left" vertical="center" wrapText="1"/>
    </x:xf>
    <x:xf numFmtId="0" fontId="9" fillId="11" borderId="2" xfId="0" applyNumberFormat="1" applyFont="1" applyFill="1" applyBorder="1" applyAlignment="1">
      <x:alignment horizontal="left" vertical="center" wrapText="1"/>
    </x:xf>
    <x:xf numFmtId="0" fontId="7" fillId="11" borderId="2" xfId="0" applyNumberFormat="1" applyFont="1" applyFill="1" applyBorder="1" applyAlignment="1">
      <x:alignment horizontal="left" vertical="center" wrapText="1"/>
    </x:xf>
    <x:xf numFmtId="0" fontId="7" fillId="10" borderId="2" xfId="0" applyNumberFormat="1" applyFont="1" applyFill="1" applyBorder="1" applyAlignment="1">
      <x:alignment horizontal="left" vertical="center" wrapText="1"/>
    </x:xf>
    <x:xf numFmtId="0" fontId="9" fillId="12" borderId="2" xfId="0" applyNumberFormat="1" applyFont="1" applyFill="1" applyBorder="1" applyAlignment="1">
      <x:alignment horizontal="center" vertical="center" wrapText="1"/>
    </x:xf>
    <x:xf numFmtId="0" fontId="9" fillId="13" borderId="2" xfId="0" applyNumberFormat="1" applyFont="1" applyFill="1" applyBorder="1" applyAlignment="1">
      <x:alignment horizontal="left" vertical="center" wrapText="1"/>
    </x:xf>
    <x:xf numFmtId="0" fontId="21" fillId="10" borderId="3" xfId="0" applyNumberFormat="1" applyFont="1" applyFill="1" applyBorder="1" applyAlignment="1">
      <x:alignment horizontal="left" vertical="center" wrapText="1"/>
    </x:xf>
    <x:xf numFmtId="0" fontId="21" fillId="10" borderId="2" xfId="0" applyNumberFormat="1" applyFont="1" applyFill="1" applyBorder="1" applyAlignment="1">
      <x:alignment horizontal="left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horizontal="center" vertical="center" wrapText="1"/>
    </x:xf>
    <x:xf numFmtId="0" fontId="10" fillId="10" borderId="2" xfId="0" applyNumberFormat="1" applyFont="1" applyFill="1" applyBorder="1" applyAlignment="1">
      <x:alignment horizontal="center" vertical="center" wrapText="1"/>
    </x:xf>
    <x:xf numFmtId="0" fontId="7" fillId="15" borderId="2" xfId="0" applyNumberFormat="1" applyFont="1" applyFill="1" applyBorder="1" applyAlignment="1">
      <x:alignment horizontal="left" vertical="center" wrapText="1"/>
    </x:xf>
    <x:xf numFmtId="0" fontId="21" fillId="16" borderId="1" xfId="0" applyNumberFormat="1" applyFont="1" applyFill="1" applyBorder="1" applyAlignment="1">
      <x:alignment horizontal="left" vertical="center" wrapText="1"/>
    </x:xf>
    <x:xf numFmtId="0" fontId="21" fillId="16" borderId="3" xfId="0" applyNumberFormat="1" applyFont="1" applyFill="1" applyBorder="1" applyAlignment="1">
      <x:alignment horizontal="left" vertical="center" wrapText="1"/>
    </x:xf>
    <x:xf numFmtId="0" fontId="23" fillId="16" borderId="1" xfId="0" applyNumberFormat="1" applyFont="1" applyFill="1" applyBorder="1" applyAlignment="1">
      <x:alignment horizontal="left" vertical="center" wrapText="1"/>
    </x:xf>
    <x:xf numFmtId="0" fontId="23" fillId="16" borderId="3" xfId="0" applyNumberFormat="1" applyFont="1" applyFill="1" applyBorder="1" applyAlignment="1">
      <x:alignment horizontal="left" vertical="center" wrapText="1"/>
    </x:xf>
    <x:xf numFmtId="0" fontId="21" fillId="16" borderId="0" xfId="0" applyNumberFormat="1" applyFont="1" applyFill="1" applyBorder="1" applyAlignment="1">
      <x:alignment horizontal="left" vertical="center" wrapText="1"/>
    </x:xf>
    <x:xf numFmtId="0" fontId="21" fillId="16" borderId="2" xfId="0" applyNumberFormat="1" applyFont="1" applyFill="1" applyBorder="1" applyAlignment="1">
      <x:alignment horizontal="left" vertical="center" wrapText="1"/>
    </x:xf>
    <x:xf numFmtId="0" fontId="23" fillId="16" borderId="0" xfId="0" applyNumberFormat="1" applyFont="1" applyFill="1" applyBorder="1" applyAlignment="1">
      <x:alignment horizontal="left" vertical="center" wrapText="1"/>
    </x:xf>
    <x:xf numFmtId="0" fontId="23" fillId="16" borderId="2" xfId="0" applyNumberFormat="1" applyFont="1" applyFill="1" applyBorder="1" applyAlignment="1">
      <x:alignment horizontal="left" vertical="center" wrapText="1"/>
    </x:xf>
    <x:xf numFmtId="0" fontId="7" fillId="16" borderId="0" xfId="0" applyNumberFormat="1" applyFont="1" applyFill="1" applyBorder="1" applyAlignment="1">
      <x:alignment horizontal="left" vertical="center" wrapText="1"/>
    </x:xf>
    <x:xf numFmtId="0" fontId="7" fillId="16" borderId="2" xfId="0" applyNumberFormat="1" applyFont="1" applyFill="1" applyBorder="1" applyAlignment="1">
      <x:alignment horizontal="left" vertical="center" wrapText="1"/>
    </x:xf>
    <x:xf numFmtId="0" fontId="24" fillId="16" borderId="0" xfId="0" applyNumberFormat="1" applyFont="1" applyFill="1" applyBorder="1" applyAlignment="1">
      <x:alignment horizontal="left" vertical="center" wrapText="1"/>
    </x:xf>
    <x:xf numFmtId="0" fontId="24" fillId="16" borderId="2" xfId="0" applyNumberFormat="1" applyFont="1" applyFill="1" applyBorder="1" applyAlignment="1">
      <x:alignment horizontal="left" vertical="center" wrapText="1"/>
    </x:xf>
    <x:xf numFmtId="0" fontId="16" fillId="17" borderId="0" xfId="0" applyNumberFormat="1" applyFont="1" applyFill="1" applyBorder="1" applyAlignment="1">
      <x:alignment horizontal="center" vertical="center" wrapText="1"/>
    </x:xf>
    <x:xf numFmtId="0" fontId="16" fillId="17" borderId="2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horizontal="left" vertical="center" wrapText="1"/>
    </x:xf>
    <x:xf numFmtId="0" fontId="7" fillId="18" borderId="2" xfId="0" applyNumberFormat="1" applyFont="1" applyFill="1" applyBorder="1" applyAlignment="1">
      <x:alignment horizontal="left" vertical="center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0" fontId="13" fillId="18" borderId="0" xfId="0" applyNumberFormat="1" applyFont="1" applyFill="1" applyBorder="1" applyAlignment="1">
      <x:alignment horizontal="left" vertical="center" wrapText="1"/>
    </x:xf>
    <x:xf numFmtId="0" fontId="13" fillId="18" borderId="2" xfId="0" applyNumberFormat="1" applyFont="1" applyFill="1" applyBorder="1" applyAlignment="1">
      <x:alignment horizontal="center" vertical="center" wrapText="1"/>
    </x:xf>
    <x:xf numFmtId="0" fontId="13" fillId="18" borderId="2" xfId="0" applyNumberFormat="1" applyFont="1" applyFill="1" applyBorder="1" applyAlignment="1">
      <x:alignment horizontal="left" vertical="center" wrapText="1"/>
    </x:xf>
    <x:xf numFmtId="0" fontId="18" fillId="17" borderId="0" xfId="0" applyNumberFormat="1" applyFont="1" applyFill="1" applyBorder="1" applyAlignment="1">
      <x:alignment horizontal="center" vertical="center" wrapText="1"/>
    </x:xf>
    <x:xf numFmtId="0" fontId="18" fillId="17" borderId="2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0" fillId="16" borderId="2" xfId="0" applyNumberFormat="1" applyFont="1" applyFill="1" applyBorder="1" applyAlignment="1">
      <x:alignment horizontal="center" vertical="center" wrapText="1"/>
    </x:xf>
    <x:xf numFmtId="0" fontId="25" fillId="18" borderId="0" xfId="0" applyNumberFormat="1" applyFont="1" applyFill="1" applyBorder="1" applyAlignment="1">
      <x:alignment horizontal="left" vertical="center" wrapText="1"/>
    </x:xf>
    <x:xf numFmtId="0" fontId="25" fillId="18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2"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995C00"/>
      </x:font>
      <x:fill>
        <x:patternFill>
          <x:bgColor rgb="FFFFF3D9"/>
        </x:patternFill>
      </x:fill>
    </x:dxf>
    <x:dxf>
      <x:font>
        <x:b/>
        <x:color rgb="FF178660"/>
      </x:font>
      <x:fill>
        <x:patternFill>
          <x:bgColor rgb="FFD9F5E8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  <x:dxf>
      <x:font>
        <x:b/>
        <x:color rgb="FF17603A"/>
      </x:font>
      <x:fill>
        <x:patternFill>
          <x:bgColor rgb="FFDDF5E6"/>
        </x:patternFill>
      </x:fill>
    </x:dxf>
    <x:dxf>
      <x:font>
        <x:b/>
        <x:color rgb="FF8A5B0B"/>
      </x:font>
      <x:fill>
        <x:patternFill>
          <x:bgColor rgb="FFFFF1C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0248319d5478e" /><Relationship Type="http://schemas.openxmlformats.org/officeDocument/2006/relationships/theme" Target="/xl/theme/theme1.xml" Id="Ra8d55472d5484aec" /><Relationship Type="http://schemas.openxmlformats.org/officeDocument/2006/relationships/sharedStrings" Target="/xl/sharedStrings.xml" Id="Ra47b255e2d644080" /><Relationship Type="http://schemas.openxmlformats.org/officeDocument/2006/relationships/worksheet" Target="/xl/worksheets/sheet1.xml" Id="R3dee54cb4fb143cb" /><Relationship Type="http://schemas.openxmlformats.org/officeDocument/2006/relationships/worksheet" Target="/xl/worksheets/sheet2.xml" Id="R2ffe9198c9604c09" /><Relationship Type="http://schemas.openxmlformats.org/officeDocument/2006/relationships/worksheet" Target="/xl/worksheets/sheet3.xml" Id="R5f2647dab9424b60" /><Relationship Type="http://schemas.openxmlformats.org/officeDocument/2006/relationships/worksheet" Target="/xl/worksheets/sheet4.xml" Id="R54ef7d49e35f4849" /><Relationship Type="http://schemas.openxmlformats.org/officeDocument/2006/relationships/worksheet" Target="/xl/worksheets/sheet5.xml" Id="R6f11c062a8274a40" /><Relationship Type="http://schemas.openxmlformats.org/officeDocument/2006/relationships/worksheet" Target="/xl/worksheets/sheet6.xml" Id="R39833ca252264ec7" /><Relationship Type="http://schemas.openxmlformats.org/officeDocument/2006/relationships/worksheet" Target="/xl/worksheets/sheet7.xml" Id="R1b7d2684826f48dc" /><Relationship Type="http://schemas.openxmlformats.org/officeDocument/2006/relationships/worksheet" Target="/xl/worksheets/sheet8.xml" Id="R5a3582978acd4b08" /><Relationship Type="http://schemas.openxmlformats.org/officeDocument/2006/relationships/worksheet" Target="/xl/worksheets/sheet9.xml" Id="Radbb1c1b5efc4553" /><Relationship Type="http://schemas.openxmlformats.org/officeDocument/2006/relationships/worksheet" Target="/xl/worksheets/sheet10.xml" Id="Rdb7c2e3b7e0e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23" customWidth="1"/>
    <x:col min="3" max="3" width="37" customWidth="1"/>
    <x:col min="4" max="4" width="22" customWidth="1"/>
    <x:col min="5" max="5" width="30" customWidth="1"/>
    <x:col min="6" max="6" width="20" customWidth="1"/>
    <x:col min="7" max="7" width="19" customWidth="1"/>
  </x:cols>
  <x:sheetData>
    <x:row r="1" ht="27.950000762939453" customHeight="1">
      <x:c r="A1" s="19" t="str">
        <x:v>SLA-SKS  /  PANDUAN GURU  /  TEMPLATE PETA 6 SEMESTER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0</x:v>
      </x:c>
      <x:c r="B2" s="20"/>
      <x:c r="C2" s="20"/>
      <x:c r="D2" s="20"/>
      <x:c r="E2" s="20"/>
      <x:c r="F2" s="20"/>
      <x:c r="G2" s="20"/>
    </x:row>
    <x:row r="3">
      <x:c r="A3" s="21" t="str">
        <x:v>Satu Gen–Mapel • satu peta enam semester • BAB = TP • Materi/Subbab per TP</x:v>
      </x:c>
      <x:c r="B3" s="21"/>
      <x:c r="C3" s="21"/>
      <x:c r="D3" s="21"/>
      <x:c r="E3" s="21"/>
      <x:c r="F3" s="21"/>
      <x:c r="G3" s="21"/>
    </x:row>
    <x:row r="4">
      <x:c r="A4" s="27" t="str">
        <x:v>Identitas dan CP akan diisi otomatis oleh SLA-SKS saat Guru mengunduh template dari akun aplikasi.</x:v>
      </x:c>
      <x:c r="B4" s="27"/>
      <x:c r="C4" s="27"/>
      <x:c r="D4" s="27"/>
      <x:c r="E4" s="27"/>
      <x:c r="F4" s="27"/>
      <x:c r="G4" s="27"/>
    </x:row>
    <x:row r="5" ht="16.5">
      <x:c r="A5" s="22" t="str">
        <x:v>CARA MENGGUNAKAN  •  4 LANGKAH SEDERHANA</x:v>
      </x:c>
      <x:c r="B5" s="22"/>
      <x:c r="C5" s="22"/>
      <x:c r="D5" s="22"/>
      <x:c r="E5" s="22"/>
      <x:c r="F5" s="22"/>
      <x:c r="G5" s="22"/>
    </x:row>
    <x:row r="6" ht="9.949999809265137" customHeight="1"/>
    <x:row r="7" ht="32.099998474121094" customHeight="1">
      <x:c r="A7" s="1" t="s">
        <x:v>1</x:v>
      </x:c>
      <x:c r="B7" s="23" t="str">
        <x:v>01  •  PERIKSA IDENTITAS</x:v>
      </x:c>
      <x:c r="C7" s="23"/>
      <x:c r="D7" s="24" t="str">
        <x:v>Buka RINGKASAN. Pastikan GEN, GURU, MAPEL, dan KURIKULUM sudah sesuai pilihan saat mengunduh.</x:v>
      </x:c>
      <x:c r="E7" s="24"/>
      <x:c r="F7" s="24"/>
      <x:c r="G7" s="24"/>
    </x:row>
    <x:row r="8" ht="9.949999809265137" customHeight="1"/>
    <x:row r="9" ht="32.099998474121094" customHeight="1">
      <x:c r="A9" s="1" t="s">
        <x:v>2</x:v>
      </x:c>
      <x:c r="B9" s="23" t="str">
        <x:v>02  •  BACA CP RESMI</x:v>
      </x:c>
      <x:c r="C9" s="23"/>
      <x:c r="D9" s="24" t="str">
        <x:v>Buka REFERENSI CP. Hanya CP aktif Fase D untuk Mapel dan Kurikulum pilihan yang ditampilkan oleh aplikasi.</x:v>
      </x:c>
      <x:c r="E9" s="24"/>
      <x:c r="F9" s="24"/>
      <x:c r="G9" s="24"/>
    </x:row>
    <x:row r="10" ht="9.949999809265137" customHeight="1"/>
    <x:row r="11" ht="32.099998474121094" customHeight="1">
      <x:c r="A11" s="1" t="s">
        <x:v>3</x:v>
      </x:c>
      <x:c r="B11" s="23" t="str">
        <x:v>03  •  SUSUN TP &amp; MATERI</x:v>
      </x:c>
      <x:c r="C11" s="23"/>
      <x:c r="D11" s="24" t="str">
        <x:v>Isi SEMESTER 1–6 secara bertahap: (A) judul, rumusan, CP, indikator TP; (B) Materi/Subbab tiap TP.</x:v>
      </x:c>
      <x:c r="E11" s="24"/>
      <x:c r="F11" s="24"/>
      <x:c r="G11" s="24"/>
    </x:row>
    <x:row r="12" ht="9.949999809265137" customHeight="1"/>
    <x:row r="13" ht="32.099998474121094" customHeight="1">
      <x:c r="A13" s="1" t="s">
        <x:v>4</x:v>
      </x:c>
      <x:c r="B13" s="23" t="str">
        <x:v>04  •  TINJAU HASIL</x:v>
      </x:c>
      <x:c r="C13" s="23"/>
      <x:c r="D13" s="24" t="str">
        <x:v>Periksa RINGKASAN dan status tiap TP. Bila pemetaan lengkap, unggah melalui fitur impor SLA-SKS ketika tersedia.</x:v>
      </x:c>
      <x:c r="E13" s="24"/>
      <x:c r="F13" s="24"/>
      <x:c r="G13" s="24"/>
    </x:row>
    <x:row r="14" ht="9.949999809265137" customHeight="1"/>
    <x:row r="15" ht="9.949999809265137" customHeight="1"/>
    <x:row r="16" ht="29.100000381469727" customHeight="1">
      <x:c r="A16" s="25" t="str">
        <x:v>ARTI WARNA DAN CARA MENGISI</x:v>
      </x:c>
      <x:c r="B16" s="25"/>
      <x:c r="C16" s="25"/>
      <x:c r="D16" s="25"/>
      <x:c r="E16" s="25"/>
      <x:c r="F16" s="25"/>
      <x:c r="G16" s="25"/>
    </x:row>
    <x:row r="17" ht="9.949999809265137" customHeight="1"/>
    <x:row r="18" ht="32.099998474121094" customHeight="1">
      <x:c r="A18" s="35" t="str">
        <x:v>BIRU MUDA  •  ISIAN GURU</x:v>
      </x:c>
      <x:c r="B18" s="35"/>
      <x:c r="C18" s="35"/>
      <x:c r="D18" s="24" t="str">
        <x:v>Ketik pada sel biru muda di sheet SEMESTER 1–6 saja. Gunakan daftar pilihan CP dan BAB.</x:v>
      </x:c>
      <x:c r="E18" s="24"/>
      <x:c r="F18" s="24"/>
      <x:c r="G18" s="24"/>
    </x:row>
    <x:row r="19" ht="9.949999809265137" customHeight="1"/>
    <x:row r="20" ht="32.099998474121094" customHeight="1">
      <x:c r="A20" s="30" t="str">
        <x:v>HIJAU MUDA  •  DARI SISTEM</x:v>
      </x:c>
      <x:c r="B20" s="30"/>
      <x:c r="C20" s="30"/>
      <x:c r="D20" s="24" t="str">
        <x:v>Identitas akun, CP resmi, nomor urut, jumlah Materi dan status dihitung/diisi otomatis; jangan diubah.</x:v>
      </x:c>
      <x:c r="E20" s="24"/>
      <x:c r="F20" s="24"/>
      <x:c r="G20" s="24"/>
    </x:row>
    <x:row r="21" ht="9.949999809265137" customHeight="1"/>
    <x:row r="22" ht="32.099998474121094" customHeight="1">
      <x:c r="A22" s="31" t="str">
        <x:v>KUNING MUDA  •  PETUNJUK</x:v>
      </x:c>
      <x:c r="B22" s="31"/>
      <x:c r="C22" s="31"/>
      <x:c r="D22" s="24" t="str">
        <x:v>Baca tips dan contoh. Sheet CONTOH MAT VII hanya simulasi, bukan CP atau data semester resmi.</x:v>
      </x:c>
      <x:c r="E22" s="24"/>
      <x:c r="F22" s="24"/>
      <x:c r="G22" s="24"/>
    </x:row>
    <x:row r="23" ht="9.949999809265137" customHeight="1"/>
    <x:row r="24" ht="9.949999809265137" customHeight="1"/>
    <x:row r="25" ht="29.100000381469727" customHeight="1">
      <x:c r="A25" s="25" t="s">
        <x:v>5</x:v>
      </x:c>
      <x:c r="B25" s="25"/>
      <x:c r="C25" s="25"/>
      <x:c r="D25" s="25"/>
      <x:c r="E25" s="25"/>
      <x:c r="F25" s="25"/>
      <x:c r="G25" s="25"/>
    </x:row>
    <x:row r="26" ht="27.950000762939453" customHeight="1">
      <x:c r="A26" s="32" t="str">
        <x:v>ATURAN SEDERHANA YANG PERLU DIINGAT</x:v>
      </x:c>
      <x:c r="B26" s="32"/>
      <x:c r="C26" s="32"/>
      <x:c r="D26" s="32"/>
      <x:c r="E26" s="32"/>
      <x:c r="F26" s="32"/>
      <x:c r="G26" s="32"/>
    </x:row>
    <x:row r="27" ht="27.950000762939453" customHeight="1">
      <x:c r="A27" s="32" t="str">
        <x:v>Satu BAB = satu TP. Satu TP berisi minimal satu Materi/Subbab, tanpa batas jumlah baku nasional.</x:v>
      </x:c>
      <x:c r="B27" s="32"/>
      <x:c r="C27" s="32"/>
      <x:c r="D27" s="32"/>
      <x:c r="E27" s="32"/>
      <x:c r="F27" s="32"/>
      <x:c r="G27" s="32"/>
    </x:row>
    <x:row r="28" ht="27.950000762939453" customHeight="1">
      <x:c r="A28" s="32" t="str">
        <x:v>Semester 1–2 untuk kelas VII, 3–4 kelas VIII, 5–6 kelas IX. Semua menggunakan CP Fase D.</x:v>
      </x:c>
      <x:c r="B28" s="32"/>
      <x:c r="C28" s="32"/>
      <x:c r="D28" s="32"/>
      <x:c r="E28" s="32"/>
      <x:c r="F28" s="32"/>
      <x:c r="G28" s="32"/>
    </x:row>
    <x:row r="29" ht="9.949999809265137" customHeight="1">
      <x:c r="A29" t="str">
        <x:v>Excel ini untuk memetakan BAB/TP dan judul Materi. Media, petunjuk Resume, HOTS dan soal di aplikasi/Word.</x:v>
      </x:c>
    </x:row>
    <x:row r="30" ht="9.949999809265137" customHeight="1"/>
    <x:row r="31" ht="29.100000381469727" customHeight="1">
      <x:c r="A31" s="25" t="s">
        <x:v>6</x:v>
      </x:c>
      <x:c r="B31" s="25"/>
      <x:c r="C31" s="25"/>
      <x:c r="D31" s="25"/>
      <x:c r="E31" s="25"/>
      <x:c r="F31" s="25"/>
      <x:c r="G31" s="25"/>
    </x:row>
    <x:row r="32" ht="9.949999809265137" customHeight="1"/>
    <x:row r="33" ht="32.099998474121094" customHeight="1">
      <x:c r="A33" s="26" t="str">
        <x:v>NAVIGASI CEPAT  •  PILIH SHEET DI BAWAH</x:v>
      </x:c>
      <x:c r="B33" s="26"/>
      <x:c r="C33" s="26"/>
      <x:c r="D33" s="34" t="s">
        <x:v>7</x:v>
      </x:c>
      <x:c r="E33" s="34"/>
      <x:c r="F33" s="2"/>
      <x:c r="G33" s="2"/>
    </x:row>
    <x:row r="34" ht="9.949999809265137" customHeight="1"/>
    <x:row r="35" ht="32.099998474121094" customHeight="1">
      <x:c r="A35" s="26" t="s">
        <x:v>8</x:v>
      </x:c>
      <x:c r="B35" s="26"/>
      <x:c r="C35" s="26"/>
      <x:c r="D35" s="34" t="s">
        <x:v>9</x:v>
      </x:c>
      <x:c r="E35" s="34"/>
      <x:c r="F35" s="2"/>
      <x:c r="G35" s="2"/>
    </x:row>
    <x:row r="36" ht="9.949999809265137" customHeight="1">
      <x:c r="A36"/>
      <x:c r="D36"/>
    </x:row>
    <x:row r="37" ht="32.099998474121094" customHeight="1">
      <x:c r="A37" s="26" t="str">
        <x:v>LIHAT CP RESMI MAPEL</x:v>
      </x:c>
      <x:c r="B37" s="26"/>
      <x:c r="C37" s="26"/>
      <x:c r="D37" s="34" t="str">
        <x:v>▶ REFERENSI CP</x:v>
      </x:c>
      <x:c r="E37" s="34"/>
      <x:c r="F37" s="2"/>
      <x:c r="G37" s="2"/>
    </x:row>
    <x:row r="38" ht="9.949999809265137" customHeight="1">
      <x:c r="A38"/>
      <x:c r="D38"/>
    </x:row>
    <x:row r="39" ht="32.099998474121094" customHeight="1">
      <x:c r="A39" s="26" t="str">
        <x:v>MULAI PETA SEMESTER</x:v>
      </x:c>
      <x:c r="B39" s="26"/>
      <x:c r="C39" s="26"/>
      <x:c r="D39" s="34" t="str">
        <x:v>▶ SEMESTER 1</x:v>
      </x:c>
      <x:c r="E39" s="34"/>
      <x:c r="F39" s="2"/>
      <x:c r="G39" s="2"/>
    </x:row>
    <x:row r="40" ht="23.100000381469727" customHeight="1"/>
    <x:row r="41" ht="23.100000381469727" customHeight="1"/>
    <x:row r="42" ht="23.100000381469727" customHeight="1"/>
    <x:row r="43" ht="23.100000381469727" customHeight="1"/>
    <x:row r="44" ht="23.100000381469727" customHeight="1"/>
    <x:row r="45" ht="23.100000381469727" customHeight="1"/>
    <x:row r="46" ht="23.100000381469727" customHeight="1"/>
    <x:row r="47" ht="23.100000381469727" customHeight="1"/>
    <x:row r="48" ht="23.100000381469727" customHeight="1"/>
    <x:row r="49" ht="23.100000381469727" customHeight="1"/>
    <x:row r="50" ht="23.100000381469727" customHeight="1"/>
    <x:row r="51" ht="23.100000381469727" customHeight="1"/>
    <x:row r="52" ht="23.100000381469727" customHeight="1"/>
    <x:row r="53" ht="23.100000381469727" customHeight="1"/>
    <x:row r="54" ht="23.100000381469727" customHeight="1"/>
    <x:row r="55" ht="23.100000381469727" customHeight="1"/>
    <x:row r="56" ht="23.100000381469727" customHeight="1"/>
    <x:row r="57" ht="23.100000381469727" customHeight="1"/>
    <x:row r="58" ht="23.100000381469727" customHeight="1"/>
    <x:row r="59" ht="23.100000381469727" customHeight="1"/>
    <x:row r="60" ht="23.100000381469727" customHeight="1"/>
    <x:row r="61" ht="23.100000381469727" customHeight="1"/>
    <x:row r="62" ht="23.100000381469727" customHeight="1"/>
    <x:row r="63" ht="23.100000381469727" customHeight="1"/>
    <x:row r="64" ht="23.100000381469727" customHeight="1"/>
    <x:row r="65" ht="23.100000381469727" customHeight="1"/>
    <x:row r="66" ht="23.100000381469727" customHeight="1"/>
    <x:row r="67" ht="23.100000381469727" customHeight="1"/>
    <x:row r="68" ht="23.100000381469727" customHeight="1"/>
    <x:row r="69" ht="23.100000381469727" customHeight="1"/>
    <x:row r="70" ht="23.100000381469727" customHeight="1"/>
    <x:row r="71" ht="23.100000381469727" customHeight="1"/>
    <x:row r="72" ht="23.100000381469727" customHeight="1"/>
    <x:row r="73" ht="23.100000381469727" customHeight="1"/>
    <x:row r="74" ht="23.100000381469727" customHeight="1"/>
    <x:row r="75" ht="23.100000381469727" customHeight="1"/>
    <x:row r="76" ht="23.100000381469727" customHeight="1"/>
    <x:row r="77" ht="23.100000381469727" customHeight="1"/>
    <x:row r="78" ht="23.100000381469727" customHeight="1"/>
    <x:row r="79" ht="23.100000381469727" customHeight="1"/>
    <x:row r="80" ht="23.100000381469727" customHeight="1"/>
    <x:row r="81" ht="23.100000381469727" customHeight="1"/>
    <x:row r="82" ht="23.100000381469727" customHeight="1"/>
    <x:row r="83" ht="23.100000381469727" customHeight="1"/>
    <x:row r="84" ht="23.100000381469727" customHeight="1"/>
    <x:row r="85" ht="23.100000381469727" customHeight="1"/>
    <x:row r="86" ht="23.100000381469727" customHeight="1"/>
    <x:row r="87" ht="23.100000381469727" customHeight="1"/>
    <x:row r="88" ht="23.100000381469727" customHeight="1"/>
    <x:row r="89" ht="23.100000381469727" customHeight="1"/>
    <x:row r="90" ht="23.100000381469727" customHeight="1"/>
    <x:row r="91" ht="23.100000381469727" customHeight="1"/>
    <x:row r="92" ht="23.100000381469727" customHeight="1"/>
    <x:row r="93" ht="23.100000381469727" customHeight="1"/>
    <x:row r="94" ht="23.100000381469727" customHeight="1"/>
    <x:row r="95" ht="23.100000381469727" customHeight="1"/>
    <x:row r="96" ht="23.100000381469727" customHeight="1"/>
    <x:row r="97" ht="23.100000381469727" customHeight="1"/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</x:sheetData>
  <x:mergeCells>
    <x:mergeCell ref="A37:C37"/>
    <x:mergeCell ref="A39:C39"/>
    <x:mergeCell ref="A4:G4"/>
    <x:mergeCell ref="D33:E33"/>
    <x:mergeCell ref="D35:E35"/>
    <x:mergeCell ref="D37:E37"/>
    <x:mergeCell ref="D39:E39"/>
    <x:mergeCell ref="A28:G28"/>
    <x:mergeCell ref="A31:G31"/>
    <x:mergeCell ref="A33:C33"/>
    <x:mergeCell ref="A35:C35"/>
    <x:mergeCell ref="A22:C22"/>
    <x:mergeCell ref="D22:G22"/>
    <x:mergeCell ref="A25:G25"/>
    <x:mergeCell ref="A26:G26"/>
    <x:mergeCell ref="A27:G27"/>
    <x:mergeCell ref="A16:G16"/>
    <x:mergeCell ref="A18:C18"/>
    <x:mergeCell ref="D18:G18"/>
    <x:mergeCell ref="A20:C20"/>
    <x:mergeCell ref="D20:G20"/>
    <x:mergeCell ref="B9:C9"/>
    <x:mergeCell ref="D9:G9"/>
    <x:mergeCell ref="B11:C11"/>
    <x:mergeCell ref="D11:G11"/>
    <x:mergeCell ref="B13:C13"/>
    <x:mergeCell ref="D13:G13"/>
    <x:mergeCell ref="A1:G1"/>
    <x:mergeCell ref="A2:G2"/>
    <x:mergeCell ref="A3:G3"/>
    <x:mergeCell ref="A5:G5"/>
    <x:mergeCell ref="B7:C7"/>
    <x:mergeCell ref="D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9"/>
  </x:sheetPr>
  <x:sheetViews>
    <x:sheetView showGridLines="0" workbookViewId="0">
      <x:pane ySplit="8" topLeftCell="A9" activePane="bottomLeft" state="frozen"/>
    </x:sheetView>
  </x:sheetViews>
  <x:sheetFormatPr defaultRowHeight="14.25"/>
  <x:cols>
    <x:col min="1" max="1" width="8" customWidth="1"/>
    <x:col min="2" max="2" width="23" customWidth="1"/>
    <x:col min="3" max="3" width="37" customWidth="1"/>
    <x:col min="4" max="4" width="22" customWidth="1"/>
    <x:col min="5" max="5" width="30" customWidth="1"/>
    <x:col min="6" max="6" width="20" customWidth="1"/>
    <x:col min="7" max="7" width="19" customWidth="1"/>
  </x:cols>
  <x:sheetData>
    <x:row r="1">
      <x:c r="A1" s="19" t="str">
        <x:v>SLA-SKS  /  RINGKASAN PERSONAL GURU</x:v>
      </x:c>
      <x:c r="B1" s="19"/>
      <x:c r="C1" s="19"/>
      <x:c r="D1" s="19"/>
      <x:c r="E1" s="19"/>
      <x:c r="F1" s="19"/>
      <x:c r="G1" s="19"/>
    </x:row>
    <x:row r="2" ht="36" customHeight="1">
      <x:c r="A2" s="20" t="str">
        <x:v>PETA PEMBELAJARAN ENAM SEMESTER</x:v>
      </x:c>
      <x:c r="B2" s="20"/>
      <x:c r="C2" s="20"/>
      <x:c r="D2" s="20"/>
      <x:c r="E2" s="20"/>
      <x:c r="F2" s="20"/>
      <x:c r="G2" s="20"/>
    </x:row>
    <x:row r="3">
      <x:c r="A3" s="21" t="str">
        <x:v>Identitas ditarik dari akun Guru dan penugasan Gen–Mapel saat file diunduh melalui SLA-SKS.</x:v>
      </x:c>
      <x:c r="B3" s="21"/>
      <x:c r="C3" s="21"/>
      <x:c r="D3" s="21"/>
      <x:c r="E3" s="21"/>
      <x:c r="F3" s="21"/>
      <x:c r="G3" s="21"/>
    </x:row>
    <x:row r="4" ht="30" customHeight="1">
      <x:c r="A4" s="17" t="s">
        <x:v>10</x:v>
      </x:c>
      <x:c r="B4" s="86" t="str">
        <x:v>Diisi otomatis dari aplikasi</x:v>
      </x:c>
      <x:c r="C4" s="86"/>
      <x:c r="D4" s="17" t="s">
        <x:v>11</x:v>
      </x:c>
      <x:c r="E4" s="86" t="str">
        <x:v>Diisi otomatis dari aplikasi</x:v>
      </x:c>
      <x:c r="F4" s="86"/>
      <x:c r="G4" s="18" t="s">
        <x:v>12</x:v>
      </x:c>
    </x:row>
    <x:row r="5" ht="30" customHeight="1">
      <x:c r="A5" s="17" t="s">
        <x:v>13</x:v>
      </x:c>
      <x:c r="B5" s="90" t="str">
        <x:v>Diisi otomatis dari aplikasi</x:v>
      </x:c>
      <x:c r="C5" s="90"/>
      <x:c r="D5" s="17" t="s">
        <x:v>14</x:v>
      </x:c>
      <x:c r="E5" s="90" t="str">
        <x:v>Diisi otomatis dari aplikasi</x:v>
      </x:c>
      <x:c r="F5" s="90"/>
      <x:c r="G5" s="18" t="s">
        <x:v>15</x:v>
      </x:c>
    </x:row>
    <x:row r="6" ht="15.75">
      <x:c r="A6" s="25" t="s">
        <x:v>16</x:v>
      </x:c>
      <x:c r="B6" s="25"/>
      <x:c r="C6" s="25"/>
      <x:c r="D6" s="25"/>
      <x:c r="E6" s="25"/>
      <x:c r="F6" s="25"/>
      <x:c r="G6" s="25"/>
    </x:row>
    <x:row r="7" ht="10.5" customHeight="1"/>
    <x:row r="8" ht="36" customHeight="1">
      <x:c r="A8" s="3" t="s">
        <x:v>17</x:v>
      </x:c>
      <x:c r="B8" s="3" t="s">
        <x:v>18</x:v>
      </x:c>
      <x:c r="C8" s="3" t="str">
        <x:v>TP terisi</x:v>
      </x:c>
      <x:c r="D8" s="3" t="s">
        <x:v>19</x:v>
      </x:c>
      <x:c r="E8" s="3" t="s">
        <x:v>20</x:v>
      </x:c>
      <x:c r="F8" s="3" t="s">
        <x:v>21</x:v>
      </x:c>
      <x:c r="G8" s="3" t="s">
        <x:v>22</x:v>
      </x:c>
    </x:row>
    <x:row r="9" ht="33" customHeight="1">
      <x:c r="A9" s="4" t="s">
        <x:v>23</x:v>
      </x:c>
      <x:c r="B9" s="4" t="s">
        <x:v>24</x:v>
      </x:c>
      <x:c r="C9" s="38" t="n">
        <x:f>COUNTIF('SEMESTER 1'!B14:B25,"&lt;&gt;")</x:f>
        <x:v>0</x:v>
      </x:c>
      <x:c r="D9" s="38" t="n">
        <x:f>COUNTIF('SEMESTER 1'!C35:C94,"&lt;&gt;")</x:f>
        <x:v>0</x:v>
      </x:c>
      <x:c r="E9" s="38" t="n">
        <x:f>COUNTIF('SEMESTER 1'!G14:G25,"TERPETAKAN")</x:f>
        <x:v>0</x:v>
      </x:c>
      <x:c r="F9" s="38" t="n">
        <x:f>COUNTIF('SEMESTER 1'!G14:G25,"LENGKAPI TP")+COUNTIF('SEMESTER 1'!G14:G25,"TAMBAHKAN MATERI")+COUNTIF('SEMESTER 1'!G14:G25,"CEK KODE CP")</x:f>
        <x:v>0</x:v>
      </x:c>
      <x:c r="G9" s="40" t="s">
        <x:v>25</x:v>
      </x:c>
    </x:row>
    <x:row r="10" ht="33" customHeight="1">
      <x:c r="A10" s="5" t="s">
        <x:v>26</x:v>
      </x:c>
      <x:c r="B10" s="5" t="s">
        <x:v>24</x:v>
      </x:c>
      <x:c r="C10" s="39" t="n">
        <x:f>COUNTIF('SEMESTER 2'!B14:B25,"&lt;&gt;")</x:f>
        <x:v>0</x:v>
      </x:c>
      <x:c r="D10" s="39" t="n">
        <x:f>COUNTIF('SEMESTER 2'!C35:C94,"&lt;&gt;")</x:f>
        <x:v>0</x:v>
      </x:c>
      <x:c r="E10" s="39" t="n">
        <x:f>COUNTIF('SEMESTER 2'!G14:G25,"TERPETAKAN")</x:f>
        <x:v>0</x:v>
      </x:c>
      <x:c r="F10" s="39" t="n">
        <x:f>COUNTIF('SEMESTER 2'!G14:G25,"LENGKAPI TP")+COUNTIF('SEMESTER 2'!G14:G25,"TAMBAHKAN MATERI")+COUNTIF('SEMESTER 2'!G14:G25,"CEK KODE CP")</x:f>
        <x:v>0</x:v>
      </x:c>
      <x:c r="G10" s="40" t="s">
        <x:v>27</x:v>
      </x:c>
    </x:row>
    <x:row r="11" ht="33" customHeight="1">
      <x:c r="A11" s="4" t="s">
        <x:v>28</x:v>
      </x:c>
      <x:c r="B11" s="4" t="s">
        <x:v>29</x:v>
      </x:c>
      <x:c r="C11" s="38" t="n">
        <x:f>COUNTIF('SEMESTER 3'!B14:B25,"&lt;&gt;")</x:f>
        <x:v>0</x:v>
      </x:c>
      <x:c r="D11" s="38" t="n">
        <x:f>COUNTIF('SEMESTER 3'!C35:C94,"&lt;&gt;")</x:f>
        <x:v>0</x:v>
      </x:c>
      <x:c r="E11" s="38" t="n">
        <x:f>COUNTIF('SEMESTER 3'!G14:G25,"TERPETAKAN")</x:f>
        <x:v>0</x:v>
      </x:c>
      <x:c r="F11" s="38" t="n">
        <x:f>COUNTIF('SEMESTER 3'!G14:G25,"LENGKAPI TP")+COUNTIF('SEMESTER 3'!G14:G25,"TAMBAHKAN MATERI")+COUNTIF('SEMESTER 3'!G14:G25,"CEK KODE CP")</x:f>
        <x:v>0</x:v>
      </x:c>
      <x:c r="G11" s="40" t="s">
        <x:v>30</x:v>
      </x:c>
    </x:row>
    <x:row r="12" ht="33" customHeight="1">
      <x:c r="A12" s="5" t="s">
        <x:v>31</x:v>
      </x:c>
      <x:c r="B12" s="5" t="s">
        <x:v>29</x:v>
      </x:c>
      <x:c r="C12" s="39" t="n">
        <x:f>COUNTIF('SEMESTER 4'!B14:B25,"&lt;&gt;")</x:f>
        <x:v>0</x:v>
      </x:c>
      <x:c r="D12" s="39" t="n">
        <x:f>COUNTIF('SEMESTER 4'!C35:C94,"&lt;&gt;")</x:f>
        <x:v>0</x:v>
      </x:c>
      <x:c r="E12" s="39" t="n">
        <x:f>COUNTIF('SEMESTER 4'!G14:G25,"TERPETAKAN")</x:f>
        <x:v>0</x:v>
      </x:c>
      <x:c r="F12" s="39" t="n">
        <x:f>COUNTIF('SEMESTER 4'!G14:G25,"LENGKAPI TP")+COUNTIF('SEMESTER 4'!G14:G25,"TAMBAHKAN MATERI")+COUNTIF('SEMESTER 4'!G14:G25,"CEK KODE CP")</x:f>
        <x:v>0</x:v>
      </x:c>
      <x:c r="G12" s="40" t="s">
        <x:v>32</x:v>
      </x:c>
    </x:row>
    <x:row r="13" ht="33" customHeight="1">
      <x:c r="A13" s="4" t="s">
        <x:v>33</x:v>
      </x:c>
      <x:c r="B13" s="4" t="s">
        <x:v>34</x:v>
      </x:c>
      <x:c r="C13" s="38" t="n">
        <x:f>COUNTIF('SEMESTER 5'!B14:B25,"&lt;&gt;")</x:f>
        <x:v>0</x:v>
      </x:c>
      <x:c r="D13" s="38" t="n">
        <x:f>COUNTIF('SEMESTER 5'!C35:C94,"&lt;&gt;")</x:f>
        <x:v>0</x:v>
      </x:c>
      <x:c r="E13" s="38" t="n">
        <x:f>COUNTIF('SEMESTER 5'!G14:G25,"TERPETAKAN")</x:f>
        <x:v>0</x:v>
      </x:c>
      <x:c r="F13" s="38" t="n">
        <x:f>COUNTIF('SEMESTER 5'!G14:G25,"LENGKAPI TP")+COUNTIF('SEMESTER 5'!G14:G25,"TAMBAHKAN MATERI")+COUNTIF('SEMESTER 5'!G14:G25,"CEK KODE CP")</x:f>
        <x:v>0</x:v>
      </x:c>
      <x:c r="G13" s="40" t="s">
        <x:v>35</x:v>
      </x:c>
    </x:row>
    <x:row r="14" ht="33" customHeight="1">
      <x:c r="A14" s="5" t="s">
        <x:v>36</x:v>
      </x:c>
      <x:c r="B14" s="5" t="s">
        <x:v>34</x:v>
      </x:c>
      <x:c r="C14" s="39" t="n">
        <x:f>COUNTIF('SEMESTER 6'!B14:B25,"&lt;&gt;")</x:f>
        <x:v>0</x:v>
      </x:c>
      <x:c r="D14" s="39" t="n">
        <x:f>COUNTIF('SEMESTER 6'!C35:C94,"&lt;&gt;")</x:f>
        <x:v>0</x:v>
      </x:c>
      <x:c r="E14" s="39" t="n">
        <x:f>COUNTIF('SEMESTER 6'!G14:G25,"TERPETAKAN")</x:f>
        <x:v>0</x:v>
      </x:c>
      <x:c r="F14" s="39" t="n">
        <x:f>COUNTIF('SEMESTER 6'!G14:G25,"LENGKAPI TP")+COUNTIF('SEMESTER 6'!G14:G25,"TAMBAHKAN MATERI")+COUNTIF('SEMESTER 6'!G14:G25,"CEK KODE CP")</x:f>
        <x:v>0</x:v>
      </x:c>
      <x:c r="G14" s="40" t="s">
        <x:v>37</x:v>
      </x:c>
    </x:row>
    <x:row r="15" ht="39.95000076293945" customHeight="1">
      <x:c r="A15" s="6" t="s">
        <x:v>38</x:v>
      </x:c>
      <x:c r="B15" s="6" t="s">
        <x:v>39</x:v>
      </x:c>
      <x:c r="C15" s="6" t="n">
        <x:f>SUM(C9:C14)</x:f>
        <x:v>0</x:v>
      </x:c>
      <x:c r="D15" s="6" t="n">
        <x:f>SUM(D9:D14)</x:f>
        <x:v>0</x:v>
      </x:c>
      <x:c r="E15" s="6" t="n">
        <x:f>SUM(E9:E14)</x:f>
        <x:v>0</x:v>
      </x:c>
      <x:c r="F15" s="6" t="n">
        <x:f>SUM(F9:F14)</x:f>
        <x:v>0</x:v>
      </x:c>
      <x:c r="G15" s="6"/>
    </x:row>
    <x:row r="16" ht="9.949999809265137" customHeight="1"/>
    <x:row r="17" ht="9.949999809265137" customHeight="1"/>
    <x:row r="18" ht="29.100000381469727" customHeight="1">
      <x:c r="A18" s="25" t="str">
        <x:v>MEMBACA ANGKA RINGKASAN</x:v>
      </x:c>
      <x:c r="B18" s="25"/>
      <x:c r="C18" s="25"/>
      <x:c r="D18" s="25"/>
      <x:c r="E18" s="25"/>
      <x:c r="F18" s="25"/>
      <x:c r="G18" s="25"/>
    </x:row>
    <x:row r="19">
      <x:c r="A19" s="32" t="str">
        <x:v>TP terisi: Guru mulai menulis judul TP pada sheet Semester terkait.</x:v>
      </x:c>
      <x:c r="B19" s="32"/>
      <x:c r="C19" s="32"/>
      <x:c r="D19" s="32"/>
      <x:c r="E19" s="32"/>
      <x:c r="F19" s="32"/>
      <x:c r="G19" s="32"/>
    </x:row>
    <x:row r="20">
      <x:c r="A20" s="32" t="s">
        <x:v>40</x:v>
      </x:c>
      <x:c r="B20" s="32"/>
      <x:c r="C20" s="32"/>
      <x:c r="D20" s="32"/>
      <x:c r="E20" s="32"/>
      <x:c r="F20" s="32"/>
      <x:c r="G20" s="32"/>
    </x:row>
    <x:row r="21">
      <x:c r="A21" s="32" t="s">
        <x:v>41</x:v>
      </x:c>
      <x:c r="B21" s="32"/>
      <x:c r="C21" s="32"/>
      <x:c r="D21" s="32"/>
      <x:c r="E21" s="32"/>
      <x:c r="F21" s="32"/>
      <x:c r="G21" s="32"/>
    </x:row>
    <x:row r="22">
      <x:c r="A22" s="32" t="str">
        <x:v>Perlu dilengkapi: TP belum lengkap, CP tidak sesuai, atau belum memiliki Materi/Subbab.</x:v>
      </x:c>
      <x:c r="B22" s="32"/>
      <x:c r="C22" s="32"/>
      <x:c r="D22" s="32"/>
      <x:c r="E22" s="32"/>
      <x:c r="F22" s="32"/>
      <x:c r="G22" s="32"/>
    </x:row>
    <x:row r="23" ht="9.949999809265137" customHeight="1"/>
    <x:row r="24" ht="9.949999809265137" customHeight="1"/>
    <x:row r="25" ht="29.100000381469727" customHeight="1">
      <x:c r="A25" s="25" t="s">
        <x:v>42</x:v>
      </x:c>
      <x:c r="B25" s="25"/>
      <x:c r="C25" s="25"/>
      <x:c r="D25" s="25"/>
      <x:c r="E25" s="25"/>
      <x:c r="F25" s="25"/>
      <x:c r="G25" s="25"/>
    </x:row>
    <x:row r="26">
      <x:c r="A26" s="32" t="str">
        <x:v>SATU BAB = SATU TP  •  MATERI DAPAT LEBIH DARI SATU</x:v>
      </x:c>
      <x:c r="B26" s="32"/>
      <x:c r="C26" s="32"/>
      <x:c r="D26" s="32"/>
      <x:c r="E26" s="32"/>
      <x:c r="F26" s="32"/>
      <x:c r="G26" s="32"/>
    </x:row>
    <x:row r="27">
      <x:c r="A27" s="32" t="str">
        <x:v>Data identitas dan CP hanya bersumber dari SLA-SKS. Jangan mengetik ulang atau memakai CP mata pelajaran lain.</x:v>
      </x:c>
      <x:c r="B27" s="32"/>
      <x:c r="C27" s="32"/>
      <x:c r="D27" s="32"/>
      <x:c r="E27" s="32"/>
      <x:c r="F27" s="32"/>
      <x:c r="G27" s="32"/>
    </x:row>
    <x:row r="28">
      <x:c r="A28" s="32" t="str">
        <x:v>Biru = data yang diketik Guru   •   Hijau = data sistem/hasil perhitungan   •   Kuning = panduan.</x:v>
      </x:c>
      <x:c r="B28" s="32"/>
      <x:c r="C28" s="32"/>
      <x:c r="D28" s="32"/>
      <x:c r="E28" s="32"/>
      <x:c r="F28" s="32"/>
      <x:c r="G28" s="32"/>
    </x:row>
    <x:row r="29">
      <x:c r="A29" s="32" t="str">
        <x:v>Ringkasan ini masih tahap perencanaan, bukan tanda BAB sudah Siap atau siswa sudah belajar.</x:v>
      </x:c>
      <x:c r="B29" s="32"/>
      <x:c r="C29" s="32"/>
      <x:c r="D29" s="32"/>
      <x:c r="E29" s="32"/>
      <x:c r="F29" s="32"/>
      <x:c r="G29" s="32"/>
    </x:row>
    <x:row r="30" ht="23.100000381469727" customHeight="1"/>
    <x:row r="31" ht="23.100000381469727" customHeight="1"/>
    <x:row r="32" ht="23.100000381469727" customHeight="1"/>
    <x:row r="33" ht="23.100000381469727" customHeight="1"/>
    <x:row r="34" ht="23.100000381469727" customHeight="1"/>
    <x:row r="35" ht="23.100000381469727" customHeight="1"/>
    <x:row r="36" ht="23.100000381469727" customHeight="1"/>
    <x:row r="37" ht="23.100000381469727" customHeight="1"/>
    <x:row r="38" ht="23.100000381469727" customHeight="1"/>
    <x:row r="39" ht="23.100000381469727" customHeight="1"/>
    <x:row r="40" ht="23.100000381469727" customHeight="1"/>
    <x:row r="41" ht="23.100000381469727" customHeight="1"/>
    <x:row r="42" ht="23.100000381469727" customHeight="1"/>
    <x:row r="43" ht="23.100000381469727" customHeight="1"/>
    <x:row r="44" ht="23.100000381469727" customHeight="1"/>
    <x:row r="45" ht="23.100000381469727" customHeight="1"/>
    <x:row r="46" ht="23.100000381469727" customHeight="1"/>
    <x:row r="47" ht="23.100000381469727" customHeight="1"/>
    <x:row r="48" ht="23.100000381469727" customHeight="1"/>
    <x:row r="49" ht="23.100000381469727" customHeight="1"/>
    <x:row r="50" ht="23.100000381469727" customHeight="1"/>
    <x:row r="51" ht="23.100000381469727" customHeight="1"/>
    <x:row r="52" ht="23.100000381469727" customHeight="1"/>
    <x:row r="53" ht="23.100000381469727" customHeight="1"/>
    <x:row r="54" ht="23.100000381469727" customHeight="1"/>
    <x:row r="55" ht="23.100000381469727" customHeight="1"/>
    <x:row r="56" ht="23.100000381469727" customHeight="1"/>
    <x:row r="57" ht="23.100000381469727" customHeight="1"/>
    <x:row r="58" ht="23.100000381469727" customHeight="1"/>
    <x:row r="59" ht="23.100000381469727" customHeight="1"/>
    <x:row r="60" ht="23.100000381469727" customHeight="1"/>
    <x:row r="61" ht="23.100000381469727" customHeight="1"/>
    <x:row r="62" ht="23.100000381469727" customHeight="1"/>
    <x:row r="63" ht="23.100000381469727" customHeight="1"/>
    <x:row r="64" ht="23.100000381469727" customHeight="1"/>
    <x:row r="65" ht="23.100000381469727" customHeight="1"/>
    <x:row r="66" ht="23.100000381469727" customHeight="1"/>
    <x:row r="67" ht="23.100000381469727" customHeight="1"/>
    <x:row r="68" ht="23.100000381469727" customHeight="1"/>
    <x:row r="69" ht="23.100000381469727" customHeight="1"/>
    <x:row r="70" ht="23.100000381469727" customHeight="1"/>
    <x:row r="71" ht="23.100000381469727" customHeight="1"/>
    <x:row r="72" ht="23.100000381469727" customHeight="1"/>
    <x:row r="73" ht="23.100000381469727" customHeight="1"/>
    <x:row r="74" ht="23.100000381469727" customHeight="1"/>
    <x:row r="75" ht="23.100000381469727" customHeight="1"/>
    <x:row r="76" ht="23.100000381469727" customHeight="1"/>
    <x:row r="77" ht="23.100000381469727" customHeight="1"/>
    <x:row r="78" ht="23.100000381469727" customHeight="1"/>
    <x:row r="79" ht="23.100000381469727" customHeight="1"/>
    <x:row r="80" ht="23.100000381469727" customHeight="1"/>
    <x:row r="81" ht="23.100000381469727" customHeight="1"/>
    <x:row r="82" ht="23.100000381469727" customHeight="1"/>
    <x:row r="83" ht="23.100000381469727" customHeight="1"/>
    <x:row r="84" ht="23.100000381469727" customHeight="1"/>
    <x:row r="85" ht="23.100000381469727" customHeight="1"/>
    <x:row r="86" ht="23.100000381469727" customHeight="1"/>
    <x:row r="87" ht="23.100000381469727" customHeight="1"/>
    <x:row r="88" ht="23.100000381469727" customHeight="1"/>
    <x:row r="89" ht="23.100000381469727" customHeight="1"/>
    <x:row r="90" ht="23.100000381469727" customHeight="1"/>
    <x:row r="91" ht="23.100000381469727" customHeight="1"/>
    <x:row r="92" ht="23.100000381469727" customHeight="1"/>
    <x:row r="93" ht="23.100000381469727" customHeight="1"/>
    <x:row r="94" ht="23.100000381469727" customHeight="1"/>
    <x:row r="95" ht="23.100000381469727" customHeight="1"/>
    <x:row r="96" ht="23.100000381469727" customHeight="1"/>
    <x:row r="97" ht="23.100000381469727" customHeight="1"/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26:G26"/>
    <x:mergeCell ref="A27:G27"/>
    <x:mergeCell ref="A28:G28"/>
    <x:mergeCell ref="A29:G29"/>
    <x:mergeCell ref="B4:C4"/>
    <x:mergeCell ref="E4:F4"/>
    <x:mergeCell ref="B5:C5"/>
    <x:mergeCell ref="E5:F5"/>
    <x:mergeCell ref="A19:G19"/>
    <x:mergeCell ref="A20:G20"/>
    <x:mergeCell ref="A21:G21"/>
    <x:mergeCell ref="A22:G22"/>
    <x:mergeCell ref="A25:G25"/>
    <x:mergeCell ref="A1:G1"/>
    <x:mergeCell ref="A2:G2"/>
    <x:mergeCell ref="A3:G3"/>
    <x:mergeCell ref="A6:G6"/>
    <x:mergeCell ref="A18:G18"/>
  </x:mergeCells>
  <x:dataValidations count="4">
    <x:dataValidation type="custom" errorStyle="stop" showErrorMessage="1" errorTitle="Diisi otomatis oleh SLA-SKS" error="Jangan ketik pada sel ini. Unduh template dari aplikasi agar data terisi otomatis." sqref="B4">
      <x:formula1>FALSE</x:formula1>
    </x:dataValidation>
    <x:dataValidation type="custom" errorStyle="stop" showErrorMessage="1" errorTitle="Diisi otomatis oleh SLA-SKS" error="Jangan ketik pada sel ini. Unduh template dari aplikasi agar data terisi otomatis." sqref="B5">
      <x:formula1>FALSE</x:formula1>
    </x:dataValidation>
    <x:dataValidation type="custom" errorStyle="stop" showErrorMessage="1" errorTitle="Diisi otomatis oleh SLA-SKS" error="Jangan ketik pada sel ini. Unduh template dari aplikasi agar data terisi otomatis." sqref="E4">
      <x:formula1>FALSE</x:formula1>
    </x:dataValidation>
    <x:dataValidation type="custom" errorStyle="stop" showErrorMessage="1" errorTitle="Diisi otomatis oleh SLA-SKS" error="Jangan ketik pada sel ini. Unduh template dari aplikasi agar data terisi otomatis." sqref="E5">
      <x:formula1>FALSE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F00"/>
  </x:sheetPr>
  <x:sheetViews>
    <x:sheetView showGridLines="0" workbookViewId="0">
      <x:pane ySplit="2" topLeftCell="A3" activePane="bottomLeft" state="frozen"/>
    </x:sheetView>
  </x:sheetViews>
  <x:sheetFormatPr defaultRowHeight="14.25"/>
  <x:cols>
    <x:col min="1" max="1" width="8" customWidth="1"/>
    <x:col min="2" max="2" width="24" hidden="0" customWidth="1"/>
    <x:col min="3" max="3" width="23" hidden="0" customWidth="1"/>
    <x:col min="4" max="4" width="46" hidden="0" customWidth="1"/>
    <x:col min="5" max="5" width="30" customWidth="1"/>
    <x:col min="6" max="6" width="20" customWidth="1"/>
    <x:col min="7" max="7" width="22" hidden="0" customWidth="1"/>
  </x:cols>
  <x:sheetData>
    <x:row r="1">
      <x:c r="A1" s="19" t="str">
        <x:v>SLA-SKS  /  CP RESMI TERBIT  /  DARI APLIKASI</x:v>
      </x:c>
      <x:c r="B1" s="19"/>
      <x:c r="C1" s="19"/>
      <x:c r="D1" s="19"/>
      <x:c r="E1" s="19"/>
      <x:c r="F1" s="19"/>
      <x:c r="G1" s="19"/>
    </x:row>
    <x:row r="2" ht="36" customHeight="1">
      <x:c r="A2" s="20" t="str">
        <x:v>REFERENSI CP RESMI MATA PELAJARAN</x:v>
      </x:c>
      <x:c r="B2" s="20"/>
      <x:c r="C2" s="20"/>
      <x:c r="D2" s="20"/>
      <x:c r="E2" s="20"/>
      <x:c r="F2" s="20"/>
      <x:c r="G2" s="20"/>
    </x:row>
    <x:row r="3">
      <x:c r="A3" s="21" t="str">
        <x:v>Hanya CP aktif Fase D yang sesuai dengan Mapel dan Kurikulum pilihan Guru.</x:v>
      </x:c>
      <x:c r="B3" s="21"/>
      <x:c r="C3" s="21"/>
      <x:c r="D3" s="21"/>
      <x:c r="E3" s="21"/>
      <x:c r="F3" s="21"/>
      <x:c r="G3" s="21"/>
    </x:row>
    <x:row r="4" ht="9.949999809265137" customHeight="1"/>
    <x:row r="5" ht="16.5">
      <x:c r="A5" s="22" t="str">
        <x:v>DIISI OTOMATIS SAAT DOWNLOAD</x:v>
      </x:c>
      <x:c r="B5" s="22"/>
      <x:c r="C5" s="22"/>
      <x:c r="D5" s="22"/>
      <x:c r="E5" s="22"/>
      <x:c r="F5" s="22"/>
      <x:c r="G5" s="22"/>
    </x:row>
    <x:row r="6">
      <x:c r="A6" s="32" t="str">
        <x:v>SLA-SKS mengambil CP resmi terbit dari database. Guru tidak perlu memasukkan atau menyalin CP ke Excel.</x:v>
      </x:c>
      <x:c r="B6" s="32"/>
      <x:c r="C6" s="32"/>
      <x:c r="D6" s="32"/>
      <x:c r="E6" s="32"/>
      <x:c r="F6" s="32"/>
      <x:c r="G6" s="32"/>
    </x:row>
    <x:row r="7">
      <x:c r="A7" s="32" t="str">
        <x:v>Jika daftar kosong ketika unduh melalui aplikasi, hubungi Admin agar CP mapel diterbitkan lebih dulu.</x:v>
      </x:c>
      <x:c r="B7" s="32"/>
      <x:c r="C7" s="32"/>
      <x:c r="D7" s="32"/>
      <x:c r="E7" s="32"/>
      <x:c r="F7" s="32"/>
      <x:c r="G7" s="32"/>
    </x:row>
    <x:row r="8" ht="9.949999809265137" customHeight="1"/>
    <x:row r="9" ht="9.949999809265137" customHeight="1"/>
    <x:row r="10" ht="36" customHeight="1">
      <x:c r="A10" s="7" t="s">
        <x:v>43</x:v>
      </x:c>
      <x:c r="B10" s="7" t="s">
        <x:v>44</x:v>
      </x:c>
      <x:c r="C10" s="7" t="s">
        <x:v>45</x:v>
      </x:c>
      <x:c r="D10" s="7" t="str">
        <x:v>RUMUSAN CP RESMI</x:v>
      </x:c>
      <x:c r="E10" s="7" t="s">
        <x:v>46</x:v>
      </x:c>
      <x:c r="F10" s="7" t="s">
        <x:v>47</x:v>
      </x:c>
      <x:c r="G10" s="7" t="str">
        <x:v>KETERANGAN SISTEM</x:v>
      </x:c>
    </x:row>
    <x:row r="11" ht="32" customHeight="1">
      <x:c r="A11" s="96">
        <x:v>1</x:v>
      </x:c>
      <x:c r="B11" s="94"/>
      <x:c r="C11" s="94"/>
      <x:c r="D11" s="94"/>
      <x:c r="E11" s="94"/>
      <x:c r="F11" s="94"/>
      <x:c r="G11" s="94"/>
    </x:row>
    <x:row r="12" ht="32" customHeight="1">
      <x:c r="A12" s="96">
        <x:v>2</x:v>
      </x:c>
      <x:c r="B12" s="94"/>
      <x:c r="C12" s="94"/>
      <x:c r="D12" s="94"/>
      <x:c r="E12" s="94"/>
      <x:c r="F12" s="94"/>
      <x:c r="G12" s="94"/>
    </x:row>
    <x:row r="13" ht="32" customHeight="1">
      <x:c r="A13" s="96">
        <x:v>3</x:v>
      </x:c>
      <x:c r="B13" s="94"/>
      <x:c r="C13" s="94"/>
      <x:c r="D13" s="94"/>
      <x:c r="E13" s="94"/>
      <x:c r="F13" s="94"/>
      <x:c r="G13" s="94"/>
    </x:row>
    <x:row r="14" ht="32" customHeight="1">
      <x:c r="A14" s="96">
        <x:v>4</x:v>
      </x:c>
      <x:c r="B14" s="94"/>
      <x:c r="C14" s="94"/>
      <x:c r="D14" s="94"/>
      <x:c r="E14" s="94"/>
      <x:c r="F14" s="94"/>
      <x:c r="G14" s="94"/>
    </x:row>
    <x:row r="15" ht="32" customHeight="1">
      <x:c r="A15" s="96">
        <x:v>5</x:v>
      </x:c>
      <x:c r="B15" s="94"/>
      <x:c r="C15" s="94"/>
      <x:c r="D15" s="94"/>
      <x:c r="E15" s="94"/>
      <x:c r="F15" s="94"/>
      <x:c r="G15" s="94"/>
    </x:row>
    <x:row r="16" ht="32" customHeight="1">
      <x:c r="A16" s="96">
        <x:v>6</x:v>
      </x:c>
      <x:c r="B16" s="94"/>
      <x:c r="C16" s="94"/>
      <x:c r="D16" s="94"/>
      <x:c r="E16" s="94"/>
      <x:c r="F16" s="94"/>
      <x:c r="G16" s="94"/>
    </x:row>
    <x:row r="17" ht="32" customHeight="1">
      <x:c r="A17" s="96">
        <x:v>7</x:v>
      </x:c>
      <x:c r="B17" s="94"/>
      <x:c r="C17" s="94"/>
      <x:c r="D17" s="94"/>
      <x:c r="E17" s="94"/>
      <x:c r="F17" s="94"/>
      <x:c r="G17" s="94"/>
    </x:row>
    <x:row r="18" ht="32" customHeight="1">
      <x:c r="A18" s="96">
        <x:v>8</x:v>
      </x:c>
      <x:c r="B18" s="94"/>
      <x:c r="C18" s="94"/>
      <x:c r="D18" s="94"/>
      <x:c r="E18" s="94"/>
      <x:c r="F18" s="94"/>
      <x:c r="G18" s="94"/>
    </x:row>
    <x:row r="19" ht="32" customHeight="1">
      <x:c r="A19" s="96">
        <x:v>9</x:v>
      </x:c>
      <x:c r="B19" s="94"/>
      <x:c r="C19" s="94"/>
      <x:c r="D19" s="94"/>
      <x:c r="E19" s="94"/>
      <x:c r="F19" s="94"/>
      <x:c r="G19" s="94"/>
    </x:row>
    <x:row r="20" ht="32" customHeight="1">
      <x:c r="A20" s="96">
        <x:v>10</x:v>
      </x:c>
      <x:c r="B20" s="94"/>
      <x:c r="C20" s="94"/>
      <x:c r="D20" s="94"/>
      <x:c r="E20" s="94"/>
      <x:c r="F20" s="94"/>
      <x:c r="G20" s="94"/>
    </x:row>
    <x:row r="21" ht="32" customHeight="1">
      <x:c r="A21" s="96">
        <x:v>11</x:v>
      </x:c>
      <x:c r="B21" s="94"/>
      <x:c r="C21" s="94"/>
      <x:c r="D21" s="94"/>
      <x:c r="E21" s="94"/>
      <x:c r="F21" s="94"/>
      <x:c r="G21" s="94"/>
    </x:row>
    <x:row r="22" ht="32" customHeight="1">
      <x:c r="A22" s="96">
        <x:v>12</x:v>
      </x:c>
      <x:c r="B22" s="94"/>
      <x:c r="C22" s="94"/>
      <x:c r="D22" s="94"/>
      <x:c r="E22" s="94"/>
      <x:c r="F22" s="94"/>
      <x:c r="G22" s="94"/>
    </x:row>
    <x:row r="23" ht="32" customHeight="1">
      <x:c r="A23" s="96">
        <x:v>13</x:v>
      </x:c>
      <x:c r="B23" s="94"/>
      <x:c r="C23" s="94"/>
      <x:c r="D23" s="94"/>
      <x:c r="E23" s="94"/>
      <x:c r="F23" s="94"/>
      <x:c r="G23" s="94"/>
    </x:row>
    <x:row r="24" ht="32" customHeight="1">
      <x:c r="A24" s="96">
        <x:v>14</x:v>
      </x:c>
      <x:c r="B24" s="94"/>
      <x:c r="C24" s="94"/>
      <x:c r="D24" s="94"/>
      <x:c r="E24" s="94"/>
      <x:c r="F24" s="94"/>
      <x:c r="G24" s="94"/>
    </x:row>
    <x:row r="25" ht="32" customHeight="1">
      <x:c r="A25" s="96">
        <x:v>15</x:v>
      </x:c>
      <x:c r="B25" s="94"/>
      <x:c r="C25" s="94"/>
      <x:c r="D25" s="94"/>
      <x:c r="E25" s="94"/>
      <x:c r="F25" s="94"/>
      <x:c r="G25" s="94"/>
    </x:row>
    <x:row r="26" ht="32" customHeight="1">
      <x:c r="A26" s="96">
        <x:v>16</x:v>
      </x:c>
      <x:c r="B26" s="94"/>
      <x:c r="C26" s="94"/>
      <x:c r="D26" s="94"/>
      <x:c r="E26" s="94"/>
      <x:c r="F26" s="94"/>
      <x:c r="G26" s="94"/>
    </x:row>
    <x:row r="27" ht="32" customHeight="1">
      <x:c r="A27" s="96">
        <x:v>17</x:v>
      </x:c>
      <x:c r="B27" s="94"/>
      <x:c r="C27" s="94"/>
      <x:c r="D27" s="94"/>
      <x:c r="E27" s="94"/>
      <x:c r="F27" s="94"/>
      <x:c r="G27" s="94"/>
    </x:row>
    <x:row r="28" ht="32" customHeight="1">
      <x:c r="A28" s="96">
        <x:v>18</x:v>
      </x:c>
      <x:c r="B28" s="94"/>
      <x:c r="C28" s="94"/>
      <x:c r="D28" s="94"/>
      <x:c r="E28" s="94"/>
      <x:c r="F28" s="94"/>
      <x:c r="G28" s="94"/>
    </x:row>
    <x:row r="29" ht="32" customHeight="1">
      <x:c r="A29" s="96">
        <x:v>19</x:v>
      </x:c>
      <x:c r="B29" s="94"/>
      <x:c r="C29" s="94"/>
      <x:c r="D29" s="94"/>
      <x:c r="E29" s="94"/>
      <x:c r="F29" s="94"/>
      <x:c r="G29" s="94"/>
    </x:row>
    <x:row r="30" ht="32" customHeight="1">
      <x:c r="A30" s="96">
        <x:v>20</x:v>
      </x:c>
      <x:c r="B30" s="94"/>
      <x:c r="C30" s="94"/>
      <x:c r="D30" s="94"/>
      <x:c r="E30" s="94"/>
      <x:c r="F30" s="94"/>
      <x:c r="G30" s="94"/>
    </x:row>
    <x:row r="31" ht="9.949999809265137" customHeight="1"/>
    <x:row r="32" ht="9.949999809265137" customHeight="1"/>
    <x:row r="33" ht="27.950000762939453" customHeight="1">
      <x:c r="A33" s="24" t="str">
        <x:v>Saat memetakan TP pada SEMESTER 1–6, pilih kode CP dari daftar resmi di atas.</x:v>
      </x:c>
      <x:c r="B33" s="24"/>
      <x:c r="C33" s="24"/>
      <x:c r="D33" s="24"/>
      <x:c r="E33" s="24"/>
      <x:c r="F33" s="24"/>
      <x:c r="G33" s="24"/>
    </x:row>
    <x:row r="34" ht="27.950000762939453" customHeight="1">
      <x:c r="A34" s="24" t="str">
        <x:v>Daftar ini dipakai bersama enam semester. CP dari mapel lain tidak boleh disisipkan.</x:v>
      </x:c>
      <x:c r="B34" s="24"/>
      <x:c r="C34" s="24"/>
      <x:c r="D34" s="24"/>
      <x:c r="E34" s="24"/>
      <x:c r="F34" s="24"/>
      <x:c r="G34" s="24"/>
    </x:row>
    <x:row r="35" ht="23.100000381469727" customHeight="1"/>
    <x:row r="36" ht="23.100000381469727" customHeight="1"/>
    <x:row r="37" ht="23.100000381469727" customHeight="1"/>
    <x:row r="38" ht="23.100000381469727" customHeight="1"/>
    <x:row r="39" ht="23.100000381469727" customHeight="1"/>
    <x:row r="40" ht="23.100000381469727" customHeight="1"/>
    <x:row r="41" ht="23.100000381469727" customHeight="1"/>
    <x:row r="42" ht="23.100000381469727" customHeight="1"/>
    <x:row r="43" ht="23.100000381469727" customHeight="1"/>
    <x:row r="44" ht="23.100000381469727" customHeight="1"/>
    <x:row r="45" ht="23.100000381469727" customHeight="1"/>
    <x:row r="46" ht="23.100000381469727" customHeight="1"/>
    <x:row r="47" ht="23.100000381469727" customHeight="1"/>
    <x:row r="48" ht="23.100000381469727" customHeight="1"/>
    <x:row r="49" ht="23.100000381469727" customHeight="1"/>
    <x:row r="50" ht="23.100000381469727" customHeight="1"/>
    <x:row r="51" ht="23.100000381469727" customHeight="1"/>
    <x:row r="52" ht="23.100000381469727" customHeight="1"/>
    <x:row r="53" ht="23.100000381469727" customHeight="1"/>
    <x:row r="54" ht="23.100000381469727" customHeight="1"/>
    <x:row r="55" ht="23.100000381469727" customHeight="1"/>
    <x:row r="56" ht="23.100000381469727" customHeight="1"/>
    <x:row r="57" ht="23.100000381469727" customHeight="1"/>
    <x:row r="58" ht="23.100000381469727" customHeight="1"/>
    <x:row r="59" ht="23.100000381469727" customHeight="1"/>
    <x:row r="60" ht="23.100000381469727" customHeight="1"/>
    <x:row r="61" ht="23.100000381469727" customHeight="1"/>
    <x:row r="62" ht="23.100000381469727" customHeight="1"/>
    <x:row r="63" ht="23.100000381469727" customHeight="1"/>
    <x:row r="64" ht="23.100000381469727" customHeight="1"/>
    <x:row r="65" ht="23.100000381469727" customHeight="1"/>
    <x:row r="66" ht="23.100000381469727" customHeight="1"/>
    <x:row r="67" ht="23.100000381469727" customHeight="1"/>
    <x:row r="68" ht="23.100000381469727" customHeight="1"/>
    <x:row r="69" ht="23.100000381469727" customHeight="1"/>
    <x:row r="70" ht="23.100000381469727" customHeight="1"/>
    <x:row r="71" ht="23.100000381469727" customHeight="1"/>
    <x:row r="72" ht="23.100000381469727" customHeight="1"/>
    <x:row r="73" ht="23.100000381469727" customHeight="1"/>
    <x:row r="74" ht="23.100000381469727" customHeight="1"/>
    <x:row r="75" ht="23.100000381469727" customHeight="1"/>
    <x:row r="76" ht="23.100000381469727" customHeight="1"/>
    <x:row r="77" ht="23.100000381469727" customHeight="1"/>
    <x:row r="78" ht="23.100000381469727" customHeight="1"/>
    <x:row r="79" ht="23.100000381469727" customHeight="1"/>
    <x:row r="80" ht="23.100000381469727" customHeight="1"/>
    <x:row r="81" ht="23.100000381469727" customHeight="1"/>
    <x:row r="82" ht="23.100000381469727" customHeight="1"/>
    <x:row r="83" ht="23.100000381469727" customHeight="1"/>
    <x:row r="84" ht="23.100000381469727" customHeight="1"/>
    <x:row r="85" ht="23.100000381469727" customHeight="1"/>
    <x:row r="86" ht="23.100000381469727" customHeight="1"/>
    <x:row r="87" ht="23.100000381469727" customHeight="1"/>
    <x:row r="88" ht="23.100000381469727" customHeight="1"/>
    <x:row r="89" ht="23.100000381469727" customHeight="1"/>
    <x:row r="90" ht="23.100000381469727" customHeight="1"/>
    <x:row r="91" ht="23.100000381469727" customHeight="1"/>
    <x:row r="92" ht="23.100000381469727" customHeight="1"/>
    <x:row r="93" ht="23.100000381469727" customHeight="1"/>
    <x:row r="94" ht="23.100000381469727" customHeight="1"/>
    <x:row r="95" ht="23.100000381469727" customHeight="1"/>
    <x:row r="96" ht="23.100000381469727" customHeight="1"/>
    <x:row r="97" ht="23.100000381469727" customHeight="1"/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</x:sheetData>
  <x:mergeCells>
    <x:mergeCell ref="A7:G7"/>
    <x:mergeCell ref="A33:G33"/>
    <x:mergeCell ref="A34:G34"/>
    <x:mergeCell ref="A1:G1"/>
    <x:mergeCell ref="A2:G2"/>
    <x:mergeCell ref="A3:G3"/>
    <x:mergeCell ref="A5:G5"/>
    <x:mergeCell ref="A6:G6"/>
  </x:mergeCells>
  <x:dataValidations count="2">
    <x:dataValidation type="list" sqref="F11:F30">
      <x:formula1>"Aktif (terbit),Draf / bukan untuk digunakan"</x:formula1>
    </x:dataValidation>
    <x:dataValidation type="custom" errorStyle="stop" showErrorMessage="1" errorTitle="Diisi otomatis oleh SLA-SKS" error="Jangan ketik pada sel ini. Unduh template dari aplikasi agar data terisi otomatis." sqref="B11:G30">
      <x:formula1>FALSE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1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48</x:v>
      </x:c>
      <x:c r="B2" s="20"/>
      <x:c r="C2" s="20"/>
      <x:c r="D2" s="20"/>
      <x:c r="E2" s="20"/>
      <x:c r="F2" s="20"/>
      <x:c r="G2" s="20"/>
    </x:row>
    <x:row r="3">
      <x:c r="A3" s="21" t="str">
        <x:v>Kelas VII  •  Semester 1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50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28" priority="5">
      <x:formula>G14="TERPETAKAN"</x:formula>
    </x:cfRule>
    <x:cfRule type="expression" dxfId="29" priority="6">
      <x:formula>AND(G14&lt;&gt;"TERPETAKAN",G14&lt;&gt;"BELUM DIISI")</x:formula>
    </x:cfRule>
  </x:conditionalFormatting>
  <x:conditionalFormatting sqref="G35:G94">
    <x:cfRule type="expression" dxfId="30" priority="7">
      <x:formula>G35="TERPETAKAN"</x:formula>
    </x:cfRule>
    <x:cfRule type="expression" dxfId="31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2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60</x:v>
      </x:c>
      <x:c r="B2" s="20"/>
      <x:c r="C2" s="20"/>
      <x:c r="D2" s="20"/>
      <x:c r="E2" s="20"/>
      <x:c r="F2" s="20"/>
      <x:c r="G2" s="20"/>
    </x:row>
    <x:row r="3">
      <x:c r="A3" s="21" t="str">
        <x:v>Kelas VII  •  Semester 2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61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32" priority="5">
      <x:formula>G14="TERPETAKAN"</x:formula>
    </x:cfRule>
    <x:cfRule type="expression" dxfId="33" priority="6">
      <x:formula>AND(G14&lt;&gt;"TERPETAKAN",G14&lt;&gt;"BELUM DIISI")</x:formula>
    </x:cfRule>
  </x:conditionalFormatting>
  <x:conditionalFormatting sqref="G35:G94">
    <x:cfRule type="expression" dxfId="34" priority="7">
      <x:formula>G35="TERPETAKAN"</x:formula>
    </x:cfRule>
    <x:cfRule type="expression" dxfId="35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3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62</x:v>
      </x:c>
      <x:c r="B2" s="20"/>
      <x:c r="C2" s="20"/>
      <x:c r="D2" s="20"/>
      <x:c r="E2" s="20"/>
      <x:c r="F2" s="20"/>
      <x:c r="G2" s="20"/>
    </x:row>
    <x:row r="3">
      <x:c r="A3" s="21" t="str">
        <x:v>Kelas VIII  •  Semester 3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63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36" priority="5">
      <x:formula>G14="TERPETAKAN"</x:formula>
    </x:cfRule>
    <x:cfRule type="expression" dxfId="37" priority="6">
      <x:formula>AND(G14&lt;&gt;"TERPETAKAN",G14&lt;&gt;"BELUM DIISI")</x:formula>
    </x:cfRule>
  </x:conditionalFormatting>
  <x:conditionalFormatting sqref="G35:G94">
    <x:cfRule type="expression" dxfId="38" priority="7">
      <x:formula>G35="TERPETAKAN"</x:formula>
    </x:cfRule>
    <x:cfRule type="expression" dxfId="39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4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64</x:v>
      </x:c>
      <x:c r="B2" s="20"/>
      <x:c r="C2" s="20"/>
      <x:c r="D2" s="20"/>
      <x:c r="E2" s="20"/>
      <x:c r="F2" s="20"/>
      <x:c r="G2" s="20"/>
    </x:row>
    <x:row r="3">
      <x:c r="A3" s="21" t="str">
        <x:v>Kelas VIII  •  Semester 4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65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40" priority="5">
      <x:formula>G14="TERPETAKAN"</x:formula>
    </x:cfRule>
    <x:cfRule type="expression" dxfId="41" priority="6">
      <x:formula>AND(G14&lt;&gt;"TERPETAKAN",G14&lt;&gt;"BELUM DIISI")</x:formula>
    </x:cfRule>
  </x:conditionalFormatting>
  <x:conditionalFormatting sqref="G35:G94">
    <x:cfRule type="expression" dxfId="42" priority="7">
      <x:formula>G35="TERPETAKAN"</x:formula>
    </x:cfRule>
    <x:cfRule type="expression" dxfId="43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5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66</x:v>
      </x:c>
      <x:c r="B2" s="20"/>
      <x:c r="C2" s="20"/>
      <x:c r="D2" s="20"/>
      <x:c r="E2" s="20"/>
      <x:c r="F2" s="20"/>
      <x:c r="G2" s="20"/>
    </x:row>
    <x:row r="3">
      <x:c r="A3" s="21" t="str">
        <x:v>Kelas IX  •  Semester 5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67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44" priority="5">
      <x:formula>G14="TERPETAKAN"</x:formula>
    </x:cfRule>
    <x:cfRule type="expression" dxfId="45" priority="6">
      <x:formula>AND(G14&lt;&gt;"TERPETAKAN",G14&lt;&gt;"BELUM DIISI")</x:formula>
    </x:cfRule>
  </x:conditionalFormatting>
  <x:conditionalFormatting sqref="G35:G94">
    <x:cfRule type="expression" dxfId="46" priority="7">
      <x:formula>G35="TERPETAKAN"</x:formula>
    </x:cfRule>
    <x:cfRule type="expression" dxfId="47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0000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8" customWidth="1"/>
    <x:col min="2" max="2" width="34" hidden="0" customWidth="1"/>
    <x:col min="3" max="3" width="51" hidden="0" customWidth="1"/>
    <x:col min="4" max="4" width="23" hidden="0" customWidth="1"/>
    <x:col min="5" max="5" width="43" hidden="0" customWidth="1"/>
    <x:col min="6" max="6" width="19" hidden="0" customWidth="1"/>
    <x:col min="7" max="7" width="20" hidden="0" customWidth="1"/>
  </x:cols>
  <x:sheetData>
    <x:row r="1">
      <x:c r="A1" s="19" t="str">
        <x:v>SLA-SKS  /  PETA GEN–MAPEL  /  SEMESTER 6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68</x:v>
      </x:c>
      <x:c r="B2" s="20"/>
      <x:c r="C2" s="20"/>
      <x:c r="D2" s="20"/>
      <x:c r="E2" s="20"/>
      <x:c r="F2" s="20"/>
      <x:c r="G2" s="20"/>
    </x:row>
    <x:row r="3">
      <x:c r="A3" s="21" t="str">
        <x:v>Kelas IX  •  Semester 6  •  Fase D  •  SATU BAB = SATU TP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tr">
        <x:v>ISI 2 BAGIAN SAJA: A. DAFTAR TP   →   B. DAFTAR MATERI/SUBBAB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0</x:v>
      </x:c>
      <x:c r="D7" s="29" t="s">
        <x:v>49</x:v>
      </x:c>
      <x:c r="E7" s="29"/>
      <x:c r="F7" s="10" t="n">
        <x:f>COUNTIF(C35:C94,"&lt;&gt;")</x:f>
        <x:v>0</x:v>
      </x:c>
      <x:c r="G7" s="11" t="s">
        <x:v>69</x:v>
      </x:c>
    </x:row>
    <x:row r="8" ht="9.949999809265137" customHeight="1"/>
    <x:row r="9">
      <x:c r="A9" s="32" t="str">
        <x:v>Bagian A: tetapkan TP sesuai CP resmi. Bagian B: urutkan Materi/Subbab setiap TP.</x:v>
      </x:c>
      <x:c r="B9" s="32"/>
      <x:c r="C9" s="32"/>
      <x:c r="D9" s="32"/>
      <x:c r="E9" s="32"/>
      <x:c r="F9" s="32"/>
      <x:c r="G9" s="32"/>
    </x:row>
    <x:row r="10">
      <x:c r="A10" s="32" t="str">
        <x:v>Hanya sel biru muda boleh diisi Guru. Semua CP dipilih dari REFERENSI CP mapel ini.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Judul BAB/TP, Rumusan TP, Kode CP, Indikator ditulis Guru. No, jumlah, status otomatis.</x:v>
      </x:c>
      <x:c r="B12" s="32"/>
      <x:c r="C12" s="32"/>
      <x:c r="D12" s="32"/>
      <x:c r="E12" s="32"/>
      <x:c r="F12" s="32"/>
      <x:c r="G12" s="32"/>
    </x:row>
    <x:row r="13" ht="37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3" customHeight="1">
      <x:c r="A14" s="104">
        <x:v>1</x:v>
      </x:c>
      <x:c r="B14" s="98"/>
      <x:c r="C14" s="98"/>
      <x:c r="D14" s="110"/>
      <x:c r="E14" s="98"/>
      <x:c r="F14" s="106" t="str">
        <x:f t="shared" ref="F14:F25" si="0">IF(B14="","",COUNTIFS($B$35:$B$94,A14,$C$35:$C$94,"&lt;&gt;"))</x:f>
      </x:c>
      <x:c r="G14" s="106" t="str">
        <x:f t="shared" ref="G14:G25" si="1">IF(COUNTA(B14:E14)=0,"BELUM DIISI",IF(OR(B14="",C14="",D14="",E14=""),"LENGKAPI TP",IF(COUNTIF('REFERENSI CP'!$B$11:$B$30,D14)=0,"CEK KODE CP",IF(F14=0,"TAMBAHKAN MATERI","TERPETAKAN"))))</x:f>
        <x:v>BELUM DIISI</x:v>
      </x:c>
    </x:row>
    <x:row r="15" ht="43" customHeight="1">
      <x:c r="A15" s="104">
        <x:v>2</x:v>
      </x:c>
      <x:c r="B15" s="98"/>
      <x:c r="C15" s="98"/>
      <x:c r="D15" s="110"/>
      <x:c r="E15" s="98"/>
      <x:c r="F15" s="106" t="str">
        <x:f t="shared" si="0"/>
      </x:c>
      <x:c r="G15" s="106" t="str">
        <x:f t="shared" si="1">IF(COUNTA(B15:E15)=0,"BELUM DIISI",IF(OR(B15="",C15="",D15="",E15=""),"LENGKAPI TP",IF(COUNTIF('REFERENSI CP'!$B$11:$B$30,D15)=0,"CEK KODE CP",IF(F15=0,"TAMBAHKAN MATERI","TERPETAKAN"))))</x:f>
        <x:v>BELUM DIISI</x:v>
      </x:c>
    </x:row>
    <x:row r="16" ht="43" customHeight="1">
      <x:c r="A16" s="104">
        <x:v>3</x:v>
      </x:c>
      <x:c r="B16" s="98"/>
      <x:c r="C16" s="98"/>
      <x:c r="D16" s="110"/>
      <x:c r="E16" s="98"/>
      <x:c r="F16" s="106" t="str">
        <x:f t="shared" si="0"/>
      </x:c>
      <x:c r="G16" s="106" t="str">
        <x:f t="shared" si="1">IF(COUNTA(B16:E16)=0,"BELUM DIISI",IF(OR(B16="",C16="",D16="",E16=""),"LENGKAPI TP",IF(COUNTIF('REFERENSI CP'!$B$11:$B$30,D16)=0,"CEK KODE CP",IF(F16=0,"TAMBAHKAN MATERI","TERPETAKAN"))))</x:f>
        <x:v>BELUM DIISI</x:v>
      </x:c>
    </x:row>
    <x:row r="17" ht="43" customHeight="1">
      <x:c r="A17" s="104">
        <x:v>4</x:v>
      </x:c>
      <x:c r="B17" s="98"/>
      <x:c r="C17" s="98"/>
      <x:c r="D17" s="110"/>
      <x:c r="E17" s="98"/>
      <x:c r="F17" s="106" t="str">
        <x:f t="shared" si="0"/>
      </x:c>
      <x:c r="G17" s="106" t="str">
        <x:f t="shared" si="1">IF(COUNTA(B17:E17)=0,"BELUM DIISI",IF(OR(B17="",C17="",D17="",E17=""),"LENGKAPI TP",IF(COUNTIF('REFERENSI CP'!$B$11:$B$30,D17)=0,"CEK KODE CP",IF(F17=0,"TAMBAHKAN MATERI","TERPETAKAN"))))</x:f>
        <x:v>BELUM DIISI</x:v>
      </x:c>
    </x:row>
    <x:row r="18" ht="43" customHeight="1">
      <x:c r="A18" s="104">
        <x:v>5</x:v>
      </x:c>
      <x:c r="B18" s="98"/>
      <x:c r="C18" s="98"/>
      <x:c r="D18" s="110"/>
      <x:c r="E18" s="98"/>
      <x:c r="F18" s="106" t="str">
        <x:f t="shared" si="0"/>
      </x:c>
      <x:c r="G18" s="106" t="str">
        <x:f t="shared" si="1">IF(COUNTA(B18:E18)=0,"BELUM DIISI",IF(OR(B18="",C18="",D18="",E18=""),"LENGKAPI TP",IF(COUNTIF('REFERENSI CP'!$B$11:$B$30,D18)=0,"CEK KODE CP",IF(F18=0,"TAMBAHKAN MATERI","TERPETAKAN"))))</x:f>
        <x:v>BELUM DIISI</x:v>
      </x:c>
    </x:row>
    <x:row r="19" ht="43" customHeight="1">
      <x:c r="A19" s="104">
        <x:v>6</x:v>
      </x:c>
      <x:c r="B19" s="98"/>
      <x:c r="C19" s="98"/>
      <x:c r="D19" s="110"/>
      <x:c r="E19" s="98"/>
      <x:c r="F19" s="106" t="str">
        <x:f t="shared" si="0"/>
      </x:c>
      <x:c r="G19" s="106" t="str">
        <x:f t="shared" si="1">IF(COUNTA(B19:E19)=0,"BELUM DIISI",IF(OR(B19="",C19="",D19="",E19=""),"LENGKAPI TP",IF(COUNTIF('REFERENSI CP'!$B$11:$B$30,D19)=0,"CEK KODE CP",IF(F19=0,"TAMBAHKAN MATERI","TERPETAKAN"))))</x:f>
        <x:v>BELUM DIISI</x:v>
      </x:c>
    </x:row>
    <x:row r="20" ht="43" customHeight="1">
      <x:c r="A20" s="104">
        <x:v>7</x:v>
      </x:c>
      <x:c r="B20" s="98"/>
      <x:c r="C20" s="98"/>
      <x:c r="D20" s="110"/>
      <x:c r="E20" s="98"/>
      <x:c r="F20" s="106" t="str">
        <x:f t="shared" si="0"/>
      </x:c>
      <x:c r="G20" s="106" t="str">
        <x:f t="shared" si="1">IF(COUNTA(B20:E20)=0,"BELUM DIISI",IF(OR(B20="",C20="",D20="",E20=""),"LENGKAPI TP",IF(COUNTIF('REFERENSI CP'!$B$11:$B$30,D20)=0,"CEK KODE CP",IF(F20=0,"TAMBAHKAN MATERI","TERPETAKAN"))))</x:f>
        <x:v>BELUM DIISI</x:v>
      </x:c>
    </x:row>
    <x:row r="21" ht="43" customHeight="1">
      <x:c r="A21" s="104">
        <x:v>8</x:v>
      </x:c>
      <x:c r="B21" s="98"/>
      <x:c r="C21" s="98"/>
      <x:c r="D21" s="110"/>
      <x:c r="E21" s="98"/>
      <x:c r="F21" s="106" t="str">
        <x:f t="shared" si="0"/>
      </x:c>
      <x:c r="G21" s="106" t="str">
        <x:f t="shared" si="1">IF(COUNTA(B21:E21)=0,"BELUM DIISI",IF(OR(B21="",C21="",D21="",E21=""),"LENGKAPI TP",IF(COUNTIF('REFERENSI CP'!$B$11:$B$30,D21)=0,"CEK KODE CP",IF(F21=0,"TAMBAHKAN MATERI","TERPETAKAN"))))</x:f>
        <x:v>BELUM DIISI</x:v>
      </x:c>
    </x:row>
    <x:row r="22" ht="43" customHeight="1">
      <x:c r="A22" s="104">
        <x:v>9</x:v>
      </x:c>
      <x:c r="B22" s="98"/>
      <x:c r="C22" s="98"/>
      <x:c r="D22" s="110"/>
      <x:c r="E22" s="98"/>
      <x:c r="F22" s="106" t="str">
        <x:f t="shared" si="0"/>
      </x:c>
      <x:c r="G22" s="106" t="str">
        <x:f t="shared" si="1">IF(COUNTA(B22:E22)=0,"BELUM DIISI",IF(OR(B22="",C22="",D22="",E22=""),"LENGKAPI TP",IF(COUNTIF('REFERENSI CP'!$B$11:$B$30,D22)=0,"CEK KODE CP",IF(F22=0,"TAMBAHKAN MATERI","TERPETAKAN"))))</x:f>
        <x:v>BELUM DIISI</x:v>
      </x:c>
    </x:row>
    <x:row r="23" ht="43" customHeight="1">
      <x:c r="A23" s="104">
        <x:v>10</x:v>
      </x:c>
      <x:c r="B23" s="98"/>
      <x:c r="C23" s="98"/>
      <x:c r="D23" s="110"/>
      <x:c r="E23" s="98"/>
      <x:c r="F23" s="106" t="str">
        <x:f t="shared" si="0"/>
      </x:c>
      <x:c r="G23" s="106" t="str">
        <x:f t="shared" si="1">IF(COUNTA(B23:E23)=0,"BELUM DIISI",IF(OR(B23="",C23="",D23="",E23=""),"LENGKAPI TP",IF(COUNTIF('REFERENSI CP'!$B$11:$B$30,D23)=0,"CEK KODE CP",IF(F23=0,"TAMBAHKAN MATERI","TERPETAKAN"))))</x:f>
        <x:v>BELUM DIISI</x:v>
      </x:c>
    </x:row>
    <x:row r="24" ht="43" customHeight="1">
      <x:c r="A24" s="104">
        <x:v>11</x:v>
      </x:c>
      <x:c r="B24" s="98"/>
      <x:c r="C24" s="98"/>
      <x:c r="D24" s="110"/>
      <x:c r="E24" s="98"/>
      <x:c r="F24" s="106" t="str">
        <x:f t="shared" si="0"/>
      </x:c>
      <x:c r="G24" s="106" t="str">
        <x:f t="shared" si="1">IF(COUNTA(B24:E24)=0,"BELUM DIISI",IF(OR(B24="",C24="",D24="",E24=""),"LENGKAPI TP",IF(COUNTIF('REFERENSI CP'!$B$11:$B$30,D24)=0,"CEK KODE CP",IF(F24=0,"TAMBAHKAN MATERI","TERPETAKAN"))))</x:f>
        <x:v>BELUM DIISI</x:v>
      </x:c>
    </x:row>
    <x:row r="25" ht="43" customHeight="1">
      <x:c r="A25" s="104">
        <x:v>12</x:v>
      </x:c>
      <x:c r="B25" s="98"/>
      <x:c r="C25" s="98"/>
      <x:c r="D25" s="110"/>
      <x:c r="E25" s="98"/>
      <x:c r="F25" s="106" t="str">
        <x:f t="shared" si="0"/>
      </x:c>
      <x:c r="G25" s="106" t="str">
        <x:f t="shared" si="1">IF(COUNTA(B25:E25)=0,"BELUM DIISI",IF(OR(B25="",C25="",D25="",E25=""),"LENGKAPI TP",IF(COUNTIF('REFERENSI CP'!$B$11:$B$30,D25)=0,"CEK KODE CP",IF(F25=0,"TAMBAHKAN MATERI","TERPETAKAN"))))</x:f>
        <x:v>BELUM DIISI</x:v>
      </x:c>
    </x:row>
    <x:row r="26" ht="9.949999809265137" customHeight="1"/>
    <x:row r="27">
      <x:c r="A27" s="32" t="str">
        <x:v>TIPS: Jika TP punya tiga materi, buat satu BAB/TP di Bagian A, lalu tiga Materi pada Bagian B.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BAB/TP dan isi judul Materi. Urutan Materi dihitung otomatis untuk tiap BAB/TP.</x:v>
      </x:c>
      <x:c r="B31" s="32"/>
      <x:c r="C31" s="32"/>
      <x:c r="D31" s="32"/>
      <x:c r="E31" s="32"/>
      <x:c r="F31" s="32"/>
      <x:c r="G31" s="32"/>
    </x:row>
    <x:row r="32">
      <x:c r="A32" s="32" t="str">
        <x:v>Rencana media dan catatan boleh dikosongkan. Unggah file dan HOTS langsung lewat aplikasi.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37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25" customHeight="1">
      <x:c r="A35" s="96">
        <x:v>1</x:v>
      </x:c>
      <x:c r="B35" s="100"/>
      <x:c r="C35" s="101"/>
      <x:c r="D35" s="108" t="str">
        <x:f>IF(B35="","",COUNTIF($B$35:B35,B35))</x:f>
      </x:c>
      <x:c r="E35" s="98"/>
      <x:c r="F35" s="98"/>
      <x:c r="G35" s="106" t="str">
        <x:f t="shared" ref="G35:G66" si="2">IF(AND(B35="",C35=""),"BELUM DIISI",IF(OR(B35="",C35=""),"LENGKAPI",IF(IFERROR(INDEX($B$14:$B$25,B35),"")="","TP BELUM ADA","TERPETAKAN")))</x:f>
        <x:v>BELUM DIISI</x:v>
      </x:c>
    </x:row>
    <x:row r="36" ht="25" customHeight="1">
      <x:c r="A36" s="96">
        <x:v>2</x:v>
      </x:c>
      <x:c r="B36" s="100"/>
      <x:c r="C36" s="101"/>
      <x:c r="D36" s="108" t="str">
        <x:f>IF(B36="","",COUNTIF($B$35:B36,B36))</x:f>
      </x:c>
      <x:c r="E36" s="98"/>
      <x:c r="F36" s="98"/>
      <x:c r="G36" s="106" t="str">
        <x:f t="shared" si="2">IF(AND(B36="",C36=""),"BELUM DIISI",IF(OR(B36="",C36=""),"LENGKAPI",IF(IFERROR(INDEX($B$14:$B$25,B36),"")="","TP BELUM ADA","TERPETAKAN")))</x:f>
        <x:v>BELUM DIISI</x:v>
      </x:c>
    </x:row>
    <x:row r="37" ht="25" customHeight="1">
      <x:c r="A37" s="96">
        <x:v>3</x:v>
      </x:c>
      <x:c r="B37" s="100"/>
      <x:c r="C37" s="101"/>
      <x:c r="D37" s="108" t="str">
        <x:f>IF(B37="","",COUNTIF($B$35:B37,B37))</x:f>
      </x:c>
      <x:c r="E37" s="98"/>
      <x:c r="F37" s="98"/>
      <x:c r="G37" s="106" t="str">
        <x:f t="shared" si="2">IF(AND(B37="",C37=""),"BELUM DIISI",IF(OR(B37="",C37=""),"LENGKAPI",IF(IFERROR(INDEX($B$14:$B$25,B37),"")="","TP BELUM ADA","TERPETAKAN")))</x:f>
        <x:v>BELUM DIISI</x:v>
      </x:c>
    </x:row>
    <x:row r="38" ht="25" customHeight="1">
      <x:c r="A38" s="96">
        <x:v>4</x:v>
      </x:c>
      <x:c r="B38" s="100"/>
      <x:c r="C38" s="101"/>
      <x:c r="D38" s="108" t="str">
        <x:f>IF(B38="","",COUNTIF($B$35:B38,B38))</x:f>
      </x:c>
      <x:c r="E38" s="98"/>
      <x:c r="F38" s="98"/>
      <x:c r="G38" s="106" t="str">
        <x:f t="shared" si="2">IF(AND(B38="",C38=""),"BELUM DIISI",IF(OR(B38="",C38=""),"LENGKAPI",IF(IFERROR(INDEX($B$14:$B$25,B38),"")="","TP BELUM ADA","TERPETAKAN")))</x:f>
        <x:v>BELUM DIISI</x:v>
      </x:c>
    </x:row>
    <x:row r="39" ht="25" customHeight="1">
      <x:c r="A39" s="96">
        <x:v>5</x:v>
      </x:c>
      <x:c r="B39" s="100"/>
      <x:c r="C39" s="101"/>
      <x:c r="D39" s="108" t="str">
        <x:f>IF(B39="","",COUNTIF($B$35:B39,B39))</x:f>
      </x:c>
      <x:c r="E39" s="98"/>
      <x:c r="F39" s="98"/>
      <x:c r="G39" s="106" t="str">
        <x:f t="shared" si="2">IF(AND(B39="",C39=""),"BELUM DIISI",IF(OR(B39="",C39=""),"LENGKAPI",IF(IFERROR(INDEX($B$14:$B$25,B39),"")="","TP BELUM ADA","TERPETAKAN")))</x:f>
        <x:v>BELUM DIISI</x:v>
      </x:c>
    </x:row>
    <x:row r="40" ht="25" customHeight="1">
      <x:c r="A40" s="96">
        <x:v>6</x:v>
      </x:c>
      <x:c r="B40" s="100"/>
      <x:c r="C40" s="101"/>
      <x:c r="D40" s="108" t="str">
        <x:f>IF(B40="","",COUNTIF($B$35:B40,B40))</x:f>
      </x:c>
      <x:c r="E40" s="98"/>
      <x:c r="F40" s="98"/>
      <x:c r="G40" s="106" t="str">
        <x:f t="shared" si="2">IF(AND(B40="",C40=""),"BELUM DIISI",IF(OR(B40="",C40=""),"LENGKAPI",IF(IFERROR(INDEX($B$14:$B$25,B40),"")="","TP BELUM ADA","TERPETAKAN")))</x:f>
        <x:v>BELUM DIISI</x:v>
      </x:c>
    </x:row>
    <x:row r="41" ht="25" customHeight="1">
      <x:c r="A41" s="96">
        <x:v>7</x:v>
      </x:c>
      <x:c r="B41" s="100"/>
      <x:c r="C41" s="101"/>
      <x:c r="D41" s="108" t="str">
        <x:f>IF(B41="","",COUNTIF($B$35:B41,B41))</x:f>
      </x:c>
      <x:c r="E41" s="98"/>
      <x:c r="F41" s="98"/>
      <x:c r="G41" s="106" t="str">
        <x:f t="shared" si="2">IF(AND(B41="",C41=""),"BELUM DIISI",IF(OR(B41="",C41=""),"LENGKAPI",IF(IFERROR(INDEX($B$14:$B$25,B41),"")="","TP BELUM ADA","TERPETAKAN")))</x:f>
        <x:v>BELUM DIISI</x:v>
      </x:c>
    </x:row>
    <x:row r="42" ht="25" customHeight="1">
      <x:c r="A42" s="96">
        <x:v>8</x:v>
      </x:c>
      <x:c r="B42" s="100"/>
      <x:c r="C42" s="101"/>
      <x:c r="D42" s="108" t="str">
        <x:f>IF(B42="","",COUNTIF($B$35:B42,B42))</x:f>
      </x:c>
      <x:c r="E42" s="98"/>
      <x:c r="F42" s="98"/>
      <x:c r="G42" s="106" t="str">
        <x:f t="shared" si="2">IF(AND(B42="",C42=""),"BELUM DIISI",IF(OR(B42="",C42=""),"LENGKAPI",IF(IFERROR(INDEX($B$14:$B$25,B42),"")="","TP BELUM ADA","TERPETAKAN")))</x:f>
        <x:v>BELUM DIISI</x:v>
      </x:c>
    </x:row>
    <x:row r="43" ht="25" customHeight="1">
      <x:c r="A43" s="96">
        <x:v>9</x:v>
      </x:c>
      <x:c r="B43" s="100"/>
      <x:c r="C43" s="101"/>
      <x:c r="D43" s="108" t="str">
        <x:f>IF(B43="","",COUNTIF($B$35:B43,B43))</x:f>
      </x:c>
      <x:c r="E43" s="98"/>
      <x:c r="F43" s="98"/>
      <x:c r="G43" s="106" t="str">
        <x:f t="shared" si="2">IF(AND(B43="",C43=""),"BELUM DIISI",IF(OR(B43="",C43=""),"LENGKAPI",IF(IFERROR(INDEX($B$14:$B$25,B43),"")="","TP BELUM ADA","TERPETAKAN")))</x:f>
        <x:v>BELUM DIISI</x:v>
      </x:c>
    </x:row>
    <x:row r="44" ht="25" customHeight="1">
      <x:c r="A44" s="96">
        <x:v>10</x:v>
      </x:c>
      <x:c r="B44" s="100"/>
      <x:c r="C44" s="101"/>
      <x:c r="D44" s="108" t="str">
        <x:f>IF(B44="","",COUNTIF($B$35:B44,B44))</x:f>
      </x:c>
      <x:c r="E44" s="98"/>
      <x:c r="F44" s="98"/>
      <x:c r="G44" s="106" t="str">
        <x:f t="shared" si="2">IF(AND(B44="",C44=""),"BELUM DIISI",IF(OR(B44="",C44=""),"LENGKAPI",IF(IFERROR(INDEX($B$14:$B$25,B44),"")="","TP BELUM ADA","TERPETAKAN")))</x:f>
        <x:v>BELUM DIISI</x:v>
      </x:c>
    </x:row>
    <x:row r="45" ht="25" customHeight="1">
      <x:c r="A45" s="96">
        <x:v>11</x:v>
      </x:c>
      <x:c r="B45" s="100"/>
      <x:c r="C45" s="101"/>
      <x:c r="D45" s="108" t="str">
        <x:f>IF(B45="","",COUNTIF($B$35:B45,B45))</x:f>
      </x:c>
      <x:c r="E45" s="98"/>
      <x:c r="F45" s="98"/>
      <x:c r="G45" s="106" t="str">
        <x:f t="shared" si="2">IF(AND(B45="",C45=""),"BELUM DIISI",IF(OR(B45="",C45=""),"LENGKAPI",IF(IFERROR(INDEX($B$14:$B$25,B45),"")="","TP BELUM ADA","TERPETAKAN")))</x:f>
        <x:v>BELUM DIISI</x:v>
      </x:c>
    </x:row>
    <x:row r="46" ht="25" customHeight="1">
      <x:c r="A46" s="96">
        <x:v>12</x:v>
      </x:c>
      <x:c r="B46" s="100"/>
      <x:c r="C46" s="101"/>
      <x:c r="D46" s="108" t="str">
        <x:f>IF(B46="","",COUNTIF($B$35:B46,B46))</x:f>
      </x:c>
      <x:c r="E46" s="98"/>
      <x:c r="F46" s="98"/>
      <x:c r="G46" s="106" t="str">
        <x:f t="shared" si="2">IF(AND(B46="",C46=""),"BELUM DIISI",IF(OR(B46="",C46=""),"LENGKAPI",IF(IFERROR(INDEX($B$14:$B$25,B46),"")="","TP BELUM ADA","TERPETAKAN")))</x:f>
        <x:v>BELUM DIISI</x:v>
      </x:c>
    </x:row>
    <x:row r="47" ht="25" customHeight="1">
      <x:c r="A47" s="96">
        <x:v>13</x:v>
      </x:c>
      <x:c r="B47" s="100"/>
      <x:c r="C47" s="101"/>
      <x:c r="D47" s="108" t="str">
        <x:f>IF(B47="","",COUNTIF($B$35:B47,B47))</x:f>
      </x:c>
      <x:c r="E47" s="98"/>
      <x:c r="F47" s="98"/>
      <x:c r="G47" s="106" t="str">
        <x:f t="shared" si="2">IF(AND(B47="",C47=""),"BELUM DIISI",IF(OR(B47="",C47=""),"LENGKAPI",IF(IFERROR(INDEX($B$14:$B$25,B47),"")="","TP BELUM ADA","TERPETAKAN")))</x:f>
        <x:v>BELUM DIISI</x:v>
      </x:c>
    </x:row>
    <x:row r="48" ht="25" customHeight="1">
      <x:c r="A48" s="96">
        <x:v>14</x:v>
      </x:c>
      <x:c r="B48" s="100"/>
      <x:c r="C48" s="101"/>
      <x:c r="D48" s="108" t="str">
        <x:f>IF(B48="","",COUNTIF($B$35:B48,B48))</x:f>
      </x:c>
      <x:c r="E48" s="98"/>
      <x:c r="F48" s="98"/>
      <x:c r="G48" s="106" t="str">
        <x:f t="shared" si="2">IF(AND(B48="",C48=""),"BELUM DIISI",IF(OR(B48="",C48=""),"LENGKAPI",IF(IFERROR(INDEX($B$14:$B$25,B48),"")="","TP BELUM ADA","TERPETAKAN")))</x:f>
        <x:v>BELUM DIISI</x:v>
      </x:c>
    </x:row>
    <x:row r="49" ht="25" customHeight="1">
      <x:c r="A49" s="96">
        <x:v>15</x:v>
      </x:c>
      <x:c r="B49" s="100"/>
      <x:c r="C49" s="101"/>
      <x:c r="D49" s="108" t="str">
        <x:f>IF(B49="","",COUNTIF($B$35:B49,B49))</x:f>
      </x:c>
      <x:c r="E49" s="98"/>
      <x:c r="F49" s="98"/>
      <x:c r="G49" s="106" t="str">
        <x:f t="shared" si="2">IF(AND(B49="",C49=""),"BELUM DIISI",IF(OR(B49="",C49=""),"LENGKAPI",IF(IFERROR(INDEX($B$14:$B$25,B49),"")="","TP BELUM ADA","TERPETAKAN")))</x:f>
        <x:v>BELUM DIISI</x:v>
      </x:c>
    </x:row>
    <x:row r="50" ht="25" customHeight="1">
      <x:c r="A50" s="96">
        <x:v>16</x:v>
      </x:c>
      <x:c r="B50" s="100"/>
      <x:c r="C50" s="101"/>
      <x:c r="D50" s="108" t="str">
        <x:f>IF(B50="","",COUNTIF($B$35:B50,B50))</x:f>
      </x:c>
      <x:c r="E50" s="98"/>
      <x:c r="F50" s="98"/>
      <x:c r="G50" s="106" t="str">
        <x:f t="shared" si="2">IF(AND(B50="",C50=""),"BELUM DIISI",IF(OR(B50="",C50=""),"LENGKAPI",IF(IFERROR(INDEX($B$14:$B$25,B50),"")="","TP BELUM ADA","TERPETAKAN")))</x:f>
        <x:v>BELUM DIISI</x:v>
      </x:c>
    </x:row>
    <x:row r="51" ht="25" customHeight="1">
      <x:c r="A51" s="96">
        <x:v>17</x:v>
      </x:c>
      <x:c r="B51" s="100"/>
      <x:c r="C51" s="101"/>
      <x:c r="D51" s="108" t="str">
        <x:f>IF(B51="","",COUNTIF($B$35:B51,B51))</x:f>
      </x:c>
      <x:c r="E51" s="98"/>
      <x:c r="F51" s="98"/>
      <x:c r="G51" s="106" t="str">
        <x:f t="shared" si="2">IF(AND(B51="",C51=""),"BELUM DIISI",IF(OR(B51="",C51=""),"LENGKAPI",IF(IFERROR(INDEX($B$14:$B$25,B51),"")="","TP BELUM ADA","TERPETAKAN")))</x:f>
        <x:v>BELUM DIISI</x:v>
      </x:c>
    </x:row>
    <x:row r="52" ht="25" customHeight="1">
      <x:c r="A52" s="96">
        <x:v>18</x:v>
      </x:c>
      <x:c r="B52" s="100"/>
      <x:c r="C52" s="101"/>
      <x:c r="D52" s="108" t="str">
        <x:f>IF(B52="","",COUNTIF($B$35:B52,B52))</x:f>
      </x:c>
      <x:c r="E52" s="98"/>
      <x:c r="F52" s="98"/>
      <x:c r="G52" s="106" t="str">
        <x:f t="shared" si="2">IF(AND(B52="",C52=""),"BELUM DIISI",IF(OR(B52="",C52=""),"LENGKAPI",IF(IFERROR(INDEX($B$14:$B$25,B52),"")="","TP BELUM ADA","TERPETAKAN")))</x:f>
        <x:v>BELUM DIISI</x:v>
      </x:c>
    </x:row>
    <x:row r="53" ht="25" customHeight="1">
      <x:c r="A53" s="96">
        <x:v>19</x:v>
      </x:c>
      <x:c r="B53" s="100"/>
      <x:c r="C53" s="101"/>
      <x:c r="D53" s="108" t="str">
        <x:f>IF(B53="","",COUNTIF($B$35:B53,B53))</x:f>
      </x:c>
      <x:c r="E53" s="98"/>
      <x:c r="F53" s="98"/>
      <x:c r="G53" s="106" t="str">
        <x:f t="shared" si="2">IF(AND(B53="",C53=""),"BELUM DIISI",IF(OR(B53="",C53=""),"LENGKAPI",IF(IFERROR(INDEX($B$14:$B$25,B53),"")="","TP BELUM ADA","TERPETAKAN")))</x:f>
        <x:v>BELUM DIISI</x:v>
      </x:c>
    </x:row>
    <x:row r="54" ht="25" customHeight="1">
      <x:c r="A54" s="96">
        <x:v>20</x:v>
      </x:c>
      <x:c r="B54" s="100"/>
      <x:c r="C54" s="101"/>
      <x:c r="D54" s="108" t="str">
        <x:f>IF(B54="","",COUNTIF($B$35:B54,B54))</x:f>
      </x:c>
      <x:c r="E54" s="98"/>
      <x:c r="F54" s="98"/>
      <x:c r="G54" s="106" t="str">
        <x:f t="shared" si="2">IF(AND(B54="",C54=""),"BELUM DIISI",IF(OR(B54="",C54=""),"LENGKAPI",IF(IFERROR(INDEX($B$14:$B$25,B54),"")="","TP BELUM ADA","TERPETAKAN")))</x:f>
        <x:v>BELUM DIISI</x:v>
      </x:c>
    </x:row>
    <x:row r="55" ht="25" customHeight="1">
      <x:c r="A55" s="96">
        <x:v>21</x:v>
      </x:c>
      <x:c r="B55" s="100"/>
      <x:c r="C55" s="101"/>
      <x:c r="D55" s="108" t="str">
        <x:f>IF(B55="","",COUNTIF($B$35:B55,B55))</x:f>
      </x:c>
      <x:c r="E55" s="98"/>
      <x:c r="F55" s="98"/>
      <x:c r="G55" s="106" t="str">
        <x:f t="shared" si="2">IF(AND(B55="",C55=""),"BELUM DIISI",IF(OR(B55="",C55=""),"LENGKAPI",IF(IFERROR(INDEX($B$14:$B$25,B55),"")="","TP BELUM ADA","TERPETAKAN")))</x:f>
        <x:v>BELUM DIISI</x:v>
      </x:c>
    </x:row>
    <x:row r="56" ht="25" customHeight="1">
      <x:c r="A56" s="96">
        <x:v>22</x:v>
      </x:c>
      <x:c r="B56" s="100"/>
      <x:c r="C56" s="101"/>
      <x:c r="D56" s="108" t="str">
        <x:f>IF(B56="","",COUNTIF($B$35:B56,B56))</x:f>
      </x:c>
      <x:c r="E56" s="98"/>
      <x:c r="F56" s="98"/>
      <x:c r="G56" s="106" t="str">
        <x:f t="shared" si="2">IF(AND(B56="",C56=""),"BELUM DIISI",IF(OR(B56="",C56=""),"LENGKAPI",IF(IFERROR(INDEX($B$14:$B$25,B56),"")="","TP BELUM ADA","TERPETAKAN")))</x:f>
        <x:v>BELUM DIISI</x:v>
      </x:c>
    </x:row>
    <x:row r="57" ht="25" customHeight="1">
      <x:c r="A57" s="96">
        <x:v>23</x:v>
      </x:c>
      <x:c r="B57" s="100"/>
      <x:c r="C57" s="101"/>
      <x:c r="D57" s="108" t="str">
        <x:f>IF(B57="","",COUNTIF($B$35:B57,B57))</x:f>
      </x:c>
      <x:c r="E57" s="98"/>
      <x:c r="F57" s="98"/>
      <x:c r="G57" s="106" t="str">
        <x:f t="shared" si="2">IF(AND(B57="",C57=""),"BELUM DIISI",IF(OR(B57="",C57=""),"LENGKAPI",IF(IFERROR(INDEX($B$14:$B$25,B57),"")="","TP BELUM ADA","TERPETAKAN")))</x:f>
        <x:v>BELUM DIISI</x:v>
      </x:c>
    </x:row>
    <x:row r="58" ht="25" customHeight="1">
      <x:c r="A58" s="96">
        <x:v>24</x:v>
      </x:c>
      <x:c r="B58" s="100"/>
      <x:c r="C58" s="101"/>
      <x:c r="D58" s="108" t="str">
        <x:f>IF(B58="","",COUNTIF($B$35:B58,B58))</x:f>
      </x:c>
      <x:c r="E58" s="98"/>
      <x:c r="F58" s="98"/>
      <x:c r="G58" s="106" t="str">
        <x:f t="shared" si="2">IF(AND(B58="",C58=""),"BELUM DIISI",IF(OR(B58="",C58=""),"LENGKAPI",IF(IFERROR(INDEX($B$14:$B$25,B58),"")="","TP BELUM ADA","TERPETAKAN")))</x:f>
        <x:v>BELUM DIISI</x:v>
      </x:c>
    </x:row>
    <x:row r="59" ht="25" customHeight="1">
      <x:c r="A59" s="96">
        <x:v>25</x:v>
      </x:c>
      <x:c r="B59" s="100"/>
      <x:c r="C59" s="101"/>
      <x:c r="D59" s="108" t="str">
        <x:f>IF(B59="","",COUNTIF($B$35:B59,B59))</x:f>
      </x:c>
      <x:c r="E59" s="98"/>
      <x:c r="F59" s="98"/>
      <x:c r="G59" s="106" t="str">
        <x:f t="shared" si="2">IF(AND(B59="",C59=""),"BELUM DIISI",IF(OR(B59="",C59=""),"LENGKAPI",IF(IFERROR(INDEX($B$14:$B$25,B59),"")="","TP BELUM ADA","TERPETAKAN")))</x:f>
        <x:v>BELUM DIISI</x:v>
      </x:c>
    </x:row>
    <x:row r="60" ht="25" customHeight="1">
      <x:c r="A60" s="96">
        <x:v>26</x:v>
      </x:c>
      <x:c r="B60" s="100"/>
      <x:c r="C60" s="101"/>
      <x:c r="D60" s="108" t="str">
        <x:f>IF(B60="","",COUNTIF($B$35:B60,B60))</x:f>
      </x:c>
      <x:c r="E60" s="98"/>
      <x:c r="F60" s="98"/>
      <x:c r="G60" s="106" t="str">
        <x:f t="shared" si="2">IF(AND(B60="",C60=""),"BELUM DIISI",IF(OR(B60="",C60=""),"LENGKAPI",IF(IFERROR(INDEX($B$14:$B$25,B60),"")="","TP BELUM ADA","TERPETAKAN")))</x:f>
        <x:v>BELUM DIISI</x:v>
      </x:c>
    </x:row>
    <x:row r="61" ht="25" customHeight="1">
      <x:c r="A61" s="96">
        <x:v>27</x:v>
      </x:c>
      <x:c r="B61" s="100"/>
      <x:c r="C61" s="101"/>
      <x:c r="D61" s="108" t="str">
        <x:f>IF(B61="","",COUNTIF($B$35:B61,B61))</x:f>
      </x:c>
      <x:c r="E61" s="98"/>
      <x:c r="F61" s="98"/>
      <x:c r="G61" s="106" t="str">
        <x:f t="shared" si="2">IF(AND(B61="",C61=""),"BELUM DIISI",IF(OR(B61="",C61=""),"LENGKAPI",IF(IFERROR(INDEX($B$14:$B$25,B61),"")="","TP BELUM ADA","TERPETAKAN")))</x:f>
        <x:v>BELUM DIISI</x:v>
      </x:c>
    </x:row>
    <x:row r="62" ht="25" customHeight="1">
      <x:c r="A62" s="96">
        <x:v>28</x:v>
      </x:c>
      <x:c r="B62" s="100"/>
      <x:c r="C62" s="101"/>
      <x:c r="D62" s="108" t="str">
        <x:f>IF(B62="","",COUNTIF($B$35:B62,B62))</x:f>
      </x:c>
      <x:c r="E62" s="98"/>
      <x:c r="F62" s="98"/>
      <x:c r="G62" s="106" t="str">
        <x:f t="shared" si="2">IF(AND(B62="",C62=""),"BELUM DIISI",IF(OR(B62="",C62=""),"LENGKAPI",IF(IFERROR(INDEX($B$14:$B$25,B62),"")="","TP BELUM ADA","TERPETAKAN")))</x:f>
        <x:v>BELUM DIISI</x:v>
      </x:c>
    </x:row>
    <x:row r="63" ht="25" customHeight="1">
      <x:c r="A63" s="96">
        <x:v>29</x:v>
      </x:c>
      <x:c r="B63" s="100"/>
      <x:c r="C63" s="101"/>
      <x:c r="D63" s="108" t="str">
        <x:f>IF(B63="","",COUNTIF($B$35:B63,B63))</x:f>
      </x:c>
      <x:c r="E63" s="98"/>
      <x:c r="F63" s="98"/>
      <x:c r="G63" s="106" t="str">
        <x:f t="shared" si="2">IF(AND(B63="",C63=""),"BELUM DIISI",IF(OR(B63="",C63=""),"LENGKAPI",IF(IFERROR(INDEX($B$14:$B$25,B63),"")="","TP BELUM ADA","TERPETAKAN")))</x:f>
        <x:v>BELUM DIISI</x:v>
      </x:c>
    </x:row>
    <x:row r="64" ht="25" customHeight="1">
      <x:c r="A64" s="96">
        <x:v>30</x:v>
      </x:c>
      <x:c r="B64" s="100"/>
      <x:c r="C64" s="101"/>
      <x:c r="D64" s="108" t="str">
        <x:f>IF(B64="","",COUNTIF($B$35:B64,B64))</x:f>
      </x:c>
      <x:c r="E64" s="98"/>
      <x:c r="F64" s="98"/>
      <x:c r="G64" s="106" t="str">
        <x:f t="shared" si="2">IF(AND(B64="",C64=""),"BELUM DIISI",IF(OR(B64="",C64=""),"LENGKAPI",IF(IFERROR(INDEX($B$14:$B$25,B64),"")="","TP BELUM ADA","TERPETAKAN")))</x:f>
        <x:v>BELUM DIISI</x:v>
      </x:c>
    </x:row>
    <x:row r="65" ht="25" customHeight="1">
      <x:c r="A65" s="96">
        <x:v>31</x:v>
      </x:c>
      <x:c r="B65" s="100"/>
      <x:c r="C65" s="101"/>
      <x:c r="D65" s="108" t="str">
        <x:f>IF(B65="","",COUNTIF($B$35:B65,B65))</x:f>
      </x:c>
      <x:c r="E65" s="98"/>
      <x:c r="F65" s="98"/>
      <x:c r="G65" s="106" t="str">
        <x:f t="shared" si="2">IF(AND(B65="",C65=""),"BELUM DIISI",IF(OR(B65="",C65=""),"LENGKAPI",IF(IFERROR(INDEX($B$14:$B$25,B65),"")="","TP BELUM ADA","TERPETAKAN")))</x:f>
        <x:v>BELUM DIISI</x:v>
      </x:c>
    </x:row>
    <x:row r="66" ht="25" customHeight="1">
      <x:c r="A66" s="96">
        <x:v>32</x:v>
      </x:c>
      <x:c r="B66" s="100"/>
      <x:c r="C66" s="101"/>
      <x:c r="D66" s="108" t="str">
        <x:f>IF(B66="","",COUNTIF($B$35:B66,B66))</x:f>
      </x:c>
      <x:c r="E66" s="98"/>
      <x:c r="F66" s="98"/>
      <x:c r="G66" s="106" t="str">
        <x:f t="shared" si="2">IF(AND(B66="",C66=""),"BELUM DIISI",IF(OR(B66="",C66=""),"LENGKAPI",IF(IFERROR(INDEX($B$14:$B$25,B66),"")="","TP BELUM ADA","TERPETAKAN")))</x:f>
        <x:v>BELUM DIISI</x:v>
      </x:c>
    </x:row>
    <x:row r="67" ht="25" customHeight="1">
      <x:c r="A67" s="96">
        <x:v>33</x:v>
      </x:c>
      <x:c r="B67" s="100"/>
      <x:c r="C67" s="101"/>
      <x:c r="D67" s="108" t="str">
        <x:f>IF(B67="","",COUNTIF($B$35:B67,B67))</x:f>
      </x:c>
      <x:c r="E67" s="98"/>
      <x:c r="F67" s="98"/>
      <x:c r="G67" s="106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25" customHeight="1">
      <x:c r="A68" s="96">
        <x:v>34</x:v>
      </x:c>
      <x:c r="B68" s="100"/>
      <x:c r="C68" s="101"/>
      <x:c r="D68" s="108" t="str">
        <x:f>IF(B68="","",COUNTIF($B$35:B68,B68))</x:f>
      </x:c>
      <x:c r="E68" s="98"/>
      <x:c r="F68" s="98"/>
      <x:c r="G68" s="106" t="str">
        <x:f t="shared" si="3">IF(AND(B68="",C68=""),"BELUM DIISI",IF(OR(B68="",C68=""),"LENGKAPI",IF(IFERROR(INDEX($B$14:$B$25,B68),"")="","TP BELUM ADA","TERPETAKAN")))</x:f>
        <x:v>BELUM DIISI</x:v>
      </x:c>
    </x:row>
    <x:row r="69" ht="25" customHeight="1">
      <x:c r="A69" s="96">
        <x:v>35</x:v>
      </x:c>
      <x:c r="B69" s="100"/>
      <x:c r="C69" s="101"/>
      <x:c r="D69" s="108" t="str">
        <x:f>IF(B69="","",COUNTIF($B$35:B69,B69))</x:f>
      </x:c>
      <x:c r="E69" s="98"/>
      <x:c r="F69" s="98"/>
      <x:c r="G69" s="106" t="str">
        <x:f t="shared" si="3">IF(AND(B69="",C69=""),"BELUM DIISI",IF(OR(B69="",C69=""),"LENGKAPI",IF(IFERROR(INDEX($B$14:$B$25,B69),"")="","TP BELUM ADA","TERPETAKAN")))</x:f>
        <x:v>BELUM DIISI</x:v>
      </x:c>
    </x:row>
    <x:row r="70" ht="25" customHeight="1">
      <x:c r="A70" s="96">
        <x:v>36</x:v>
      </x:c>
      <x:c r="B70" s="100"/>
      <x:c r="C70" s="101"/>
      <x:c r="D70" s="108" t="str">
        <x:f>IF(B70="","",COUNTIF($B$35:B70,B70))</x:f>
      </x:c>
      <x:c r="E70" s="98"/>
      <x:c r="F70" s="98"/>
      <x:c r="G70" s="106" t="str">
        <x:f t="shared" si="3">IF(AND(B70="",C70=""),"BELUM DIISI",IF(OR(B70="",C70=""),"LENGKAPI",IF(IFERROR(INDEX($B$14:$B$25,B70),"")="","TP BELUM ADA","TERPETAKAN")))</x:f>
        <x:v>BELUM DIISI</x:v>
      </x:c>
    </x:row>
    <x:row r="71" ht="25" customHeight="1">
      <x:c r="A71" s="96">
        <x:v>37</x:v>
      </x:c>
      <x:c r="B71" s="100"/>
      <x:c r="C71" s="101"/>
      <x:c r="D71" s="108" t="str">
        <x:f>IF(B71="","",COUNTIF($B$35:B71,B71))</x:f>
      </x:c>
      <x:c r="E71" s="98"/>
      <x:c r="F71" s="98"/>
      <x:c r="G71" s="106" t="str">
        <x:f t="shared" si="3">IF(AND(B71="",C71=""),"BELUM DIISI",IF(OR(B71="",C71=""),"LENGKAPI",IF(IFERROR(INDEX($B$14:$B$25,B71),"")="","TP BELUM ADA","TERPETAKAN")))</x:f>
        <x:v>BELUM DIISI</x:v>
      </x:c>
    </x:row>
    <x:row r="72" ht="25" customHeight="1">
      <x:c r="A72" s="96">
        <x:v>38</x:v>
      </x:c>
      <x:c r="B72" s="100"/>
      <x:c r="C72" s="101"/>
      <x:c r="D72" s="108" t="str">
        <x:f>IF(B72="","",COUNTIF($B$35:B72,B72))</x:f>
      </x:c>
      <x:c r="E72" s="98"/>
      <x:c r="F72" s="98"/>
      <x:c r="G72" s="106" t="str">
        <x:f t="shared" si="3">IF(AND(B72="",C72=""),"BELUM DIISI",IF(OR(B72="",C72=""),"LENGKAPI",IF(IFERROR(INDEX($B$14:$B$25,B72),"")="","TP BELUM ADA","TERPETAKAN")))</x:f>
        <x:v>BELUM DIISI</x:v>
      </x:c>
    </x:row>
    <x:row r="73" ht="25" customHeight="1">
      <x:c r="A73" s="96">
        <x:v>39</x:v>
      </x:c>
      <x:c r="B73" s="100"/>
      <x:c r="C73" s="101"/>
      <x:c r="D73" s="108" t="str">
        <x:f>IF(B73="","",COUNTIF($B$35:B73,B73))</x:f>
      </x:c>
      <x:c r="E73" s="98"/>
      <x:c r="F73" s="98"/>
      <x:c r="G73" s="106" t="str">
        <x:f t="shared" si="3">IF(AND(B73="",C73=""),"BELUM DIISI",IF(OR(B73="",C73=""),"LENGKAPI",IF(IFERROR(INDEX($B$14:$B$25,B73),"")="","TP BELUM ADA","TERPETAKAN")))</x:f>
        <x:v>BELUM DIISI</x:v>
      </x:c>
    </x:row>
    <x:row r="74" ht="25" customHeight="1">
      <x:c r="A74" s="96">
        <x:v>40</x:v>
      </x:c>
      <x:c r="B74" s="100"/>
      <x:c r="C74" s="101"/>
      <x:c r="D74" s="108" t="str">
        <x:f>IF(B74="","",COUNTIF($B$35:B74,B74))</x:f>
      </x:c>
      <x:c r="E74" s="98"/>
      <x:c r="F74" s="98"/>
      <x:c r="G74" s="106" t="str">
        <x:f t="shared" si="3">IF(AND(B74="",C74=""),"BELUM DIISI",IF(OR(B74="",C74=""),"LENGKAPI",IF(IFERROR(INDEX($B$14:$B$25,B74),"")="","TP BELUM ADA","TERPETAKAN")))</x:f>
        <x:v>BELUM DIISI</x:v>
      </x:c>
    </x:row>
    <x:row r="75" ht="25" customHeight="1">
      <x:c r="A75" s="96">
        <x:v>41</x:v>
      </x:c>
      <x:c r="B75" s="100"/>
      <x:c r="C75" s="101"/>
      <x:c r="D75" s="108" t="str">
        <x:f>IF(B75="","",COUNTIF($B$35:B75,B75))</x:f>
      </x:c>
      <x:c r="E75" s="98"/>
      <x:c r="F75" s="98"/>
      <x:c r="G75" s="106" t="str">
        <x:f t="shared" si="3">IF(AND(B75="",C75=""),"BELUM DIISI",IF(OR(B75="",C75=""),"LENGKAPI",IF(IFERROR(INDEX($B$14:$B$25,B75),"")="","TP BELUM ADA","TERPETAKAN")))</x:f>
        <x:v>BELUM DIISI</x:v>
      </x:c>
    </x:row>
    <x:row r="76" ht="25" customHeight="1">
      <x:c r="A76" s="96">
        <x:v>42</x:v>
      </x:c>
      <x:c r="B76" s="100"/>
      <x:c r="C76" s="101"/>
      <x:c r="D76" s="108" t="str">
        <x:f>IF(B76="","",COUNTIF($B$35:B76,B76))</x:f>
      </x:c>
      <x:c r="E76" s="98"/>
      <x:c r="F76" s="98"/>
      <x:c r="G76" s="106" t="str">
        <x:f t="shared" si="3">IF(AND(B76="",C76=""),"BELUM DIISI",IF(OR(B76="",C76=""),"LENGKAPI",IF(IFERROR(INDEX($B$14:$B$25,B76),"")="","TP BELUM ADA","TERPETAKAN")))</x:f>
        <x:v>BELUM DIISI</x:v>
      </x:c>
    </x:row>
    <x:row r="77" ht="25" customHeight="1">
      <x:c r="A77" s="96">
        <x:v>43</x:v>
      </x:c>
      <x:c r="B77" s="100"/>
      <x:c r="C77" s="101"/>
      <x:c r="D77" s="108" t="str">
        <x:f>IF(B77="","",COUNTIF($B$35:B77,B77))</x:f>
      </x:c>
      <x:c r="E77" s="98"/>
      <x:c r="F77" s="98"/>
      <x:c r="G77" s="106" t="str">
        <x:f t="shared" si="3">IF(AND(B77="",C77=""),"BELUM DIISI",IF(OR(B77="",C77=""),"LENGKAPI",IF(IFERROR(INDEX($B$14:$B$25,B77),"")="","TP BELUM ADA","TERPETAKAN")))</x:f>
        <x:v>BELUM DIISI</x:v>
      </x:c>
    </x:row>
    <x:row r="78" ht="25" customHeight="1">
      <x:c r="A78" s="96">
        <x:v>44</x:v>
      </x:c>
      <x:c r="B78" s="100"/>
      <x:c r="C78" s="101"/>
      <x:c r="D78" s="108" t="str">
        <x:f>IF(B78="","",COUNTIF($B$35:B78,B78))</x:f>
      </x:c>
      <x:c r="E78" s="98"/>
      <x:c r="F78" s="98"/>
      <x:c r="G78" s="106" t="str">
        <x:f t="shared" si="3">IF(AND(B78="",C78=""),"BELUM DIISI",IF(OR(B78="",C78=""),"LENGKAPI",IF(IFERROR(INDEX($B$14:$B$25,B78),"")="","TP BELUM ADA","TERPETAKAN")))</x:f>
        <x:v>BELUM DIISI</x:v>
      </x:c>
    </x:row>
    <x:row r="79" ht="25" customHeight="1">
      <x:c r="A79" s="96">
        <x:v>45</x:v>
      </x:c>
      <x:c r="B79" s="100"/>
      <x:c r="C79" s="101"/>
      <x:c r="D79" s="108" t="str">
        <x:f>IF(B79="","",COUNTIF($B$35:B79,B79))</x:f>
      </x:c>
      <x:c r="E79" s="98"/>
      <x:c r="F79" s="98"/>
      <x:c r="G79" s="106" t="str">
        <x:f t="shared" si="3">IF(AND(B79="",C79=""),"BELUM DIISI",IF(OR(B79="",C79=""),"LENGKAPI",IF(IFERROR(INDEX($B$14:$B$25,B79),"")="","TP BELUM ADA","TERPETAKAN")))</x:f>
        <x:v>BELUM DIISI</x:v>
      </x:c>
    </x:row>
    <x:row r="80" ht="25" customHeight="1">
      <x:c r="A80" s="96">
        <x:v>46</x:v>
      </x:c>
      <x:c r="B80" s="100"/>
      <x:c r="C80" s="101"/>
      <x:c r="D80" s="108" t="str">
        <x:f>IF(B80="","",COUNTIF($B$35:B80,B80))</x:f>
      </x:c>
      <x:c r="E80" s="98"/>
      <x:c r="F80" s="98"/>
      <x:c r="G80" s="106" t="str">
        <x:f t="shared" si="3">IF(AND(B80="",C80=""),"BELUM DIISI",IF(OR(B80="",C80=""),"LENGKAPI",IF(IFERROR(INDEX($B$14:$B$25,B80),"")="","TP BELUM ADA","TERPETAKAN")))</x:f>
        <x:v>BELUM DIISI</x:v>
      </x:c>
    </x:row>
    <x:row r="81" ht="25" customHeight="1">
      <x:c r="A81" s="96">
        <x:v>47</x:v>
      </x:c>
      <x:c r="B81" s="100"/>
      <x:c r="C81" s="101"/>
      <x:c r="D81" s="108" t="str">
        <x:f>IF(B81="","",COUNTIF($B$35:B81,B81))</x:f>
      </x:c>
      <x:c r="E81" s="98"/>
      <x:c r="F81" s="98"/>
      <x:c r="G81" s="106" t="str">
        <x:f t="shared" si="3">IF(AND(B81="",C81=""),"BELUM DIISI",IF(OR(B81="",C81=""),"LENGKAPI",IF(IFERROR(INDEX($B$14:$B$25,B81),"")="","TP BELUM ADA","TERPETAKAN")))</x:f>
        <x:v>BELUM DIISI</x:v>
      </x:c>
    </x:row>
    <x:row r="82" ht="25" customHeight="1">
      <x:c r="A82" s="96">
        <x:v>48</x:v>
      </x:c>
      <x:c r="B82" s="100"/>
      <x:c r="C82" s="101"/>
      <x:c r="D82" s="108" t="str">
        <x:f>IF(B82="","",COUNTIF($B$35:B82,B82))</x:f>
      </x:c>
      <x:c r="E82" s="98"/>
      <x:c r="F82" s="98"/>
      <x:c r="G82" s="106" t="str">
        <x:f t="shared" si="3">IF(AND(B82="",C82=""),"BELUM DIISI",IF(OR(B82="",C82=""),"LENGKAPI",IF(IFERROR(INDEX($B$14:$B$25,B82),"")="","TP BELUM ADA","TERPETAKAN")))</x:f>
        <x:v>BELUM DIISI</x:v>
      </x:c>
    </x:row>
    <x:row r="83" ht="25" customHeight="1">
      <x:c r="A83" s="96">
        <x:v>49</x:v>
      </x:c>
      <x:c r="B83" s="100"/>
      <x:c r="C83" s="101"/>
      <x:c r="D83" s="108" t="str">
        <x:f>IF(B83="","",COUNTIF($B$35:B83,B83))</x:f>
      </x:c>
      <x:c r="E83" s="98"/>
      <x:c r="F83" s="98"/>
      <x:c r="G83" s="106" t="str">
        <x:f t="shared" si="3">IF(AND(B83="",C83=""),"BELUM DIISI",IF(OR(B83="",C83=""),"LENGKAPI",IF(IFERROR(INDEX($B$14:$B$25,B83),"")="","TP BELUM ADA","TERPETAKAN")))</x:f>
        <x:v>BELUM DIISI</x:v>
      </x:c>
    </x:row>
    <x:row r="84" ht="25" customHeight="1">
      <x:c r="A84" s="96">
        <x:v>50</x:v>
      </x:c>
      <x:c r="B84" s="100"/>
      <x:c r="C84" s="101"/>
      <x:c r="D84" s="108" t="str">
        <x:f>IF(B84="","",COUNTIF($B$35:B84,B84))</x:f>
      </x:c>
      <x:c r="E84" s="98"/>
      <x:c r="F84" s="98"/>
      <x:c r="G84" s="106" t="str">
        <x:f t="shared" si="3">IF(AND(B84="",C84=""),"BELUM DIISI",IF(OR(B84="",C84=""),"LENGKAPI",IF(IFERROR(INDEX($B$14:$B$25,B84),"")="","TP BELUM ADA","TERPETAKAN")))</x:f>
        <x:v>BELUM DIISI</x:v>
      </x:c>
    </x:row>
    <x:row r="85" ht="25" customHeight="1">
      <x:c r="A85" s="96">
        <x:v>51</x:v>
      </x:c>
      <x:c r="B85" s="100"/>
      <x:c r="C85" s="101"/>
      <x:c r="D85" s="108" t="str">
        <x:f>IF(B85="","",COUNTIF($B$35:B85,B85))</x:f>
      </x:c>
      <x:c r="E85" s="98"/>
      <x:c r="F85" s="98"/>
      <x:c r="G85" s="106" t="str">
        <x:f t="shared" si="3">IF(AND(B85="",C85=""),"BELUM DIISI",IF(OR(B85="",C85=""),"LENGKAPI",IF(IFERROR(INDEX($B$14:$B$25,B85),"")="","TP BELUM ADA","TERPETAKAN")))</x:f>
        <x:v>BELUM DIISI</x:v>
      </x:c>
    </x:row>
    <x:row r="86" ht="25" customHeight="1">
      <x:c r="A86" s="96">
        <x:v>52</x:v>
      </x:c>
      <x:c r="B86" s="100"/>
      <x:c r="C86" s="101"/>
      <x:c r="D86" s="108" t="str">
        <x:f>IF(B86="","",COUNTIF($B$35:B86,B86))</x:f>
      </x:c>
      <x:c r="E86" s="98"/>
      <x:c r="F86" s="98"/>
      <x:c r="G86" s="106" t="str">
        <x:f t="shared" si="3">IF(AND(B86="",C86=""),"BELUM DIISI",IF(OR(B86="",C86=""),"LENGKAPI",IF(IFERROR(INDEX($B$14:$B$25,B86),"")="","TP BELUM ADA","TERPETAKAN")))</x:f>
        <x:v>BELUM DIISI</x:v>
      </x:c>
    </x:row>
    <x:row r="87" ht="25" customHeight="1">
      <x:c r="A87" s="96">
        <x:v>53</x:v>
      </x:c>
      <x:c r="B87" s="100"/>
      <x:c r="C87" s="101"/>
      <x:c r="D87" s="108" t="str">
        <x:f>IF(B87="","",COUNTIF($B$35:B87,B87))</x:f>
      </x:c>
      <x:c r="E87" s="98"/>
      <x:c r="F87" s="98"/>
      <x:c r="G87" s="106" t="str">
        <x:f t="shared" si="3">IF(AND(B87="",C87=""),"BELUM DIISI",IF(OR(B87="",C87=""),"LENGKAPI",IF(IFERROR(INDEX($B$14:$B$25,B87),"")="","TP BELUM ADA","TERPETAKAN")))</x:f>
        <x:v>BELUM DIISI</x:v>
      </x:c>
    </x:row>
    <x:row r="88" ht="25" customHeight="1">
      <x:c r="A88" s="96">
        <x:v>54</x:v>
      </x:c>
      <x:c r="B88" s="100"/>
      <x:c r="C88" s="101"/>
      <x:c r="D88" s="108" t="str">
        <x:f>IF(B88="","",COUNTIF($B$35:B88,B88))</x:f>
      </x:c>
      <x:c r="E88" s="98"/>
      <x:c r="F88" s="98"/>
      <x:c r="G88" s="106" t="str">
        <x:f t="shared" si="3">IF(AND(B88="",C88=""),"BELUM DIISI",IF(OR(B88="",C88=""),"LENGKAPI",IF(IFERROR(INDEX($B$14:$B$25,B88),"")="","TP BELUM ADA","TERPETAKAN")))</x:f>
        <x:v>BELUM DIISI</x:v>
      </x:c>
    </x:row>
    <x:row r="89" ht="25" customHeight="1">
      <x:c r="A89" s="96">
        <x:v>55</x:v>
      </x:c>
      <x:c r="B89" s="100"/>
      <x:c r="C89" s="101"/>
      <x:c r="D89" s="108" t="str">
        <x:f>IF(B89="","",COUNTIF($B$35:B89,B89))</x:f>
      </x:c>
      <x:c r="E89" s="98"/>
      <x:c r="F89" s="98"/>
      <x:c r="G89" s="106" t="str">
        <x:f t="shared" si="3">IF(AND(B89="",C89=""),"BELUM DIISI",IF(OR(B89="",C89=""),"LENGKAPI",IF(IFERROR(INDEX($B$14:$B$25,B89),"")="","TP BELUM ADA","TERPETAKAN")))</x:f>
        <x:v>BELUM DIISI</x:v>
      </x:c>
    </x:row>
    <x:row r="90" ht="25" customHeight="1">
      <x:c r="A90" s="96">
        <x:v>56</x:v>
      </x:c>
      <x:c r="B90" s="100"/>
      <x:c r="C90" s="101"/>
      <x:c r="D90" s="108" t="str">
        <x:f>IF(B90="","",COUNTIF($B$35:B90,B90))</x:f>
      </x:c>
      <x:c r="E90" s="98"/>
      <x:c r="F90" s="98"/>
      <x:c r="G90" s="106" t="str">
        <x:f t="shared" si="3">IF(AND(B90="",C90=""),"BELUM DIISI",IF(OR(B90="",C90=""),"LENGKAPI",IF(IFERROR(INDEX($B$14:$B$25,B90),"")="","TP BELUM ADA","TERPETAKAN")))</x:f>
        <x:v>BELUM DIISI</x:v>
      </x:c>
    </x:row>
    <x:row r="91" ht="25" customHeight="1">
      <x:c r="A91" s="96">
        <x:v>57</x:v>
      </x:c>
      <x:c r="B91" s="100"/>
      <x:c r="C91" s="101"/>
      <x:c r="D91" s="108" t="str">
        <x:f>IF(B91="","",COUNTIF($B$35:B91,B91))</x:f>
      </x:c>
      <x:c r="E91" s="98"/>
      <x:c r="F91" s="98"/>
      <x:c r="G91" s="106" t="str">
        <x:f t="shared" si="3">IF(AND(B91="",C91=""),"BELUM DIISI",IF(OR(B91="",C91=""),"LENGKAPI",IF(IFERROR(INDEX($B$14:$B$25,B91),"")="","TP BELUM ADA","TERPETAKAN")))</x:f>
        <x:v>BELUM DIISI</x:v>
      </x:c>
    </x:row>
    <x:row r="92" ht="25" customHeight="1">
      <x:c r="A92" s="96">
        <x:v>58</x:v>
      </x:c>
      <x:c r="B92" s="100"/>
      <x:c r="C92" s="101"/>
      <x:c r="D92" s="108" t="str">
        <x:f>IF(B92="","",COUNTIF($B$35:B92,B92))</x:f>
      </x:c>
      <x:c r="E92" s="98"/>
      <x:c r="F92" s="98"/>
      <x:c r="G92" s="106" t="str">
        <x:f t="shared" si="3">IF(AND(B92="",C92=""),"BELUM DIISI",IF(OR(B92="",C92=""),"LENGKAPI",IF(IFERROR(INDEX($B$14:$B$25,B92),"")="","TP BELUM ADA","TERPETAKAN")))</x:f>
        <x:v>BELUM DIISI</x:v>
      </x:c>
    </x:row>
    <x:row r="93" ht="25" customHeight="1">
      <x:c r="A93" s="96">
        <x:v>59</x:v>
      </x:c>
      <x:c r="B93" s="100"/>
      <x:c r="C93" s="101"/>
      <x:c r="D93" s="108" t="str">
        <x:f>IF(B93="","",COUNTIF($B$35:B93,B93))</x:f>
      </x:c>
      <x:c r="E93" s="98"/>
      <x:c r="F93" s="98"/>
      <x:c r="G93" s="106" t="str">
        <x:f t="shared" si="3">IF(AND(B93="",C93=""),"BELUM DIISI",IF(OR(B93="",C93=""),"LENGKAPI",IF(IFERROR(INDEX($B$14:$B$25,B93),"")="","TP BELUM ADA","TERPETAKAN")))</x:f>
        <x:v>BELUM DIISI</x:v>
      </x:c>
    </x:row>
    <x:row r="94" ht="25" customHeight="1">
      <x:c r="A94" s="96">
        <x:v>60</x:v>
      </x:c>
      <x:c r="B94" s="100"/>
      <x:c r="C94" s="101"/>
      <x:c r="D94" s="108" t="str">
        <x:f>IF(B94="","",COUNTIF($B$35:B94,B94))</x:f>
      </x:c>
      <x:c r="E94" s="98"/>
      <x:c r="F94" s="98"/>
      <x:c r="G94" s="106" t="str">
        <x:f t="shared" si="3">IF(AND(B94="",C94=""),"BELUM DIISI",IF(OR(B94="",C94=""),"LENGKAPI",IF(IFERROR(INDEX($B$14:$B$25,B94),"")="","TP BELUM ADA","TERPETAKAN")))</x:f>
        <x:v>BELUM DIISI</x:v>
      </x:c>
    </x:row>
    <x:row r="95" ht="9.949999809265137" customHeight="1"/>
    <x:row r="96">
      <x:c r="A96" s="32" t="str">
        <x:v>Baris kosong tidak perlu diisi. Pemetaan dapat dilakukan bertahap untuk semester yang sesuai.</x:v>
      </x:c>
      <x:c r="B96" s="32"/>
      <x:c r="C96" s="32"/>
      <x:c r="D96" s="32"/>
      <x:c r="E96" s="32"/>
      <x:c r="F96" s="32"/>
      <x:c r="G96" s="32"/>
    </x:row>
    <x:row r="97">
      <x:c r="A97" s="32" t="str">
        <x:v>Kapasitas lembar: 12 BAB/TP dan 60 Materi untuk satu semester. Sistem akan menyesuaikan bila dibutuhkan.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48" priority="5">
      <x:formula>G14="TERPETAKAN"</x:formula>
    </x:cfRule>
    <x:cfRule type="expression" dxfId="49" priority="6">
      <x:formula>AND(G14&lt;&gt;"TERPETAKAN",G14&lt;&gt;"BELUM DIISI")</x:formula>
    </x:cfRule>
  </x:conditionalFormatting>
  <x:conditionalFormatting sqref="G35:G94">
    <x:cfRule type="expression" dxfId="50" priority="7">
      <x:formula>G35="TERPETAKAN"</x:formula>
    </x:cfRule>
    <x:cfRule type="expression" dxfId="51" priority="8">
      <x:formula>AND(G35&lt;&gt;"TERPETAKAN",G35&lt;&gt;"BELUM DIISI")</x:formula>
    </x:cfRule>
  </x:conditionalFormatting>
  <x:dataValidations count="3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  <x:dataValidation type="list" errorStyle="stop" showDropDown="0" showErrorMessage="1" errorTitle="Kode CP tidak tersedia" error="Pilih Kode CP pada daftar resmi REFERENSI CP." sqref="D14:D25">
      <x:formula1>INDIRECT("'REFERENSI CP'!$B$11:$B$30")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theme="1"/>
  </x:sheetPr>
  <x:sheetViews>
    <x:sheetView showGridLines="0" workbookViewId="0">
      <x:pane ySplit="2" topLeftCell="A3" activePane="bottomLeft" state="frozen"/>
    </x:sheetView>
  </x:sheetViews>
  <x:sheetFormatPr defaultRowHeight="14.25"/>
  <x:cols>
    <x:col min="1" max="1" width="8" customWidth="1"/>
    <x:col min="2" max="2" width="23" customWidth="1"/>
    <x:col min="3" max="3" width="37" customWidth="1"/>
    <x:col min="4" max="4" width="22" customWidth="1"/>
    <x:col min="5" max="5" width="30" customWidth="1"/>
    <x:col min="6" max="6" width="20" customWidth="1"/>
    <x:col min="7" max="7" width="19" customWidth="1"/>
  </x:cols>
  <x:sheetData>
    <x:row r="1">
      <x:c r="A1" s="19" t="str">
        <x:v>SLA-SKS  /  CONTOH FIKTIF  /  JANGAN DIIMPOR</x:v>
      </x:c>
      <x:c r="B1" s="19"/>
      <x:c r="C1" s="19"/>
      <x:c r="D1" s="19"/>
      <x:c r="E1" s="19"/>
      <x:c r="F1" s="19"/>
      <x:c r="G1" s="19"/>
    </x:row>
    <x:row r="2" ht="36" customHeight="1">
      <x:c r="A2" s="20" t="s">
        <x:v>70</x:v>
      </x:c>
      <x:c r="B2" s="20"/>
      <x:c r="C2" s="20"/>
      <x:c r="D2" s="20"/>
      <x:c r="E2" s="20"/>
      <x:c r="F2" s="20"/>
      <x:c r="G2" s="20"/>
    </x:row>
    <x:row r="3">
      <x:c r="A3" s="21" t="str">
        <x:v>SIMULASI MATEMATIKA VII • tidak memakai CP resmi • jangan dijadikan peta Gen asli.</x:v>
      </x:c>
      <x:c r="B3" s="21"/>
      <x:c r="C3" s="21"/>
      <x:c r="D3" s="21"/>
      <x:c r="E3" s="21"/>
      <x:c r="F3" s="21"/>
      <x:c r="G3" s="21"/>
    </x:row>
    <x:row r="4" ht="9.949999809265137" customHeight="1"/>
    <x:row r="5" ht="15.75">
      <x:c r="A5" s="28" t="s">
        <x:v>71</x:v>
      </x:c>
      <x:c r="B5" s="28"/>
      <x:c r="C5" s="28"/>
      <x:c r="D5" s="28"/>
      <x:c r="E5" s="28"/>
      <x:c r="F5" s="28"/>
      <x:c r="G5" s="28"/>
    </x:row>
    <x:row r="6" ht="9.949999809265137" customHeight="1"/>
    <x:row r="7" ht="32.099998474121094" customHeight="1">
      <x:c r="A7" s="29" t="str">
        <x:v>TP TERISI</x:v>
      </x:c>
      <x:c r="B7" s="29"/>
      <x:c r="C7" s="10" t="n">
        <x:f>COUNTIF(B14:B25,"&lt;&gt;")</x:f>
        <x:v>2</x:v>
      </x:c>
      <x:c r="D7" s="29" t="s">
        <x:v>49</x:v>
      </x:c>
      <x:c r="E7" s="29"/>
      <x:c r="F7" s="10" t="n">
        <x:f>COUNTIF(C35:C94,"&lt;&gt;")</x:f>
        <x:v>5</x:v>
      </x:c>
      <x:c r="G7" s="11" t="s">
        <x:v>50</x:v>
      </x:c>
    </x:row>
    <x:row r="8" ht="9.949999809265137" customHeight="1"/>
    <x:row r="9">
      <x:c r="A9" s="32" t="str">
        <x:v>CONTOH SAJA: BAB 1 memiliki 3 Materi, BAB 2 memiliki 2 Materi.</x:v>
      </x:c>
      <x:c r="B9" s="32"/>
      <x:c r="C9" s="32"/>
      <x:c r="D9" s="32"/>
      <x:c r="E9" s="32"/>
      <x:c r="F9" s="32"/>
      <x:c r="G9" s="32"/>
    </x:row>
    <x:row r="10">
      <x:c r="A10" s="32" t="str">
        <x:v>Judul TP = nama singkat; Rumusan TP = kemampuan yang diharapkan setelah siswa belajar.</x:v>
      </x:c>
      <x:c r="B10" s="32"/>
      <x:c r="C10" s="32"/>
      <x:c r="D10" s="32"/>
      <x:c r="E10" s="32"/>
      <x:c r="F10" s="32"/>
      <x:c r="G10" s="32"/>
    </x:row>
    <x:row r="11" ht="29.100000381469727" customHeight="1">
      <x:c r="A11" s="25" t="str">
        <x:v>BAGIAN A    •    DAFTAR TP = TUJUAN PEMBELAJARAN (TP)</x:v>
      </x:c>
      <x:c r="B11" s="25"/>
      <x:c r="C11" s="25"/>
      <x:c r="D11" s="25"/>
      <x:c r="E11" s="25"/>
      <x:c r="F11" s="25"/>
      <x:c r="G11" s="25"/>
    </x:row>
    <x:row r="12">
      <x:c r="A12" s="32" t="str">
        <x:v>Yang diketik Guru hanya sel biru: judul TP, rumusan TP, kode CP resmi, dan indikator. Nomor &amp; status otomatis.</x:v>
      </x:c>
      <x:c r="B12" s="32"/>
      <x:c r="C12" s="32"/>
      <x:c r="D12" s="32"/>
      <x:c r="E12" s="32"/>
      <x:c r="F12" s="32"/>
      <x:c r="G12" s="32"/>
    </x:row>
    <x:row r="13" ht="45" customHeight="1">
      <x:c r="A13" s="7" t="str">
        <x:v>No TP</x:v>
      </x:c>
      <x:c r="B13" s="7" t="str">
        <x:v>JUDUL TP</x:v>
      </x:c>
      <x:c r="C13" s="7" t="s">
        <x:v>51</x:v>
      </x:c>
      <x:c r="D13" s="7" t="s">
        <x:v>52</x:v>
      </x:c>
      <x:c r="E13" s="7" t="s">
        <x:v>53</x:v>
      </x:c>
      <x:c r="F13" s="7" t="s">
        <x:v>54</x:v>
      </x:c>
      <x:c r="G13" s="7" t="s">
        <x:v>55</x:v>
      </x:c>
    </x:row>
    <x:row r="14" ht="45" customHeight="1">
      <x:c r="A14" s="12">
        <x:v>1</x:v>
      </x:c>
      <x:c r="B14" s="9" t="s">
        <x:v>72</x:v>
      </x:c>
      <x:c r="C14" s="9" t="s">
        <x:v>73</x:v>
      </x:c>
      <x:c r="D14" s="9" t="s">
        <x:v>74</x:v>
      </x:c>
      <x:c r="E14" s="9" t="s">
        <x:v>75</x:v>
      </x:c>
      <x:c r="F14" s="13" t="n">
        <x:f t="shared" ref="F14:F25" si="0">IF(B14="","",COUNTIFS($B$35:$B$94,A14,$C$35:$C$94,"&lt;&gt;"))</x:f>
        <x:v>3</x:v>
      </x:c>
      <x:c r="G14" s="13" t="str">
        <x:f t="shared" ref="G14:G25" si="1">IF(COUNTA(B14:E14)=0,"BELUM DIISI",IF(OR(B14="",C14="",D14="",E14=""),"LENGKAPI TP",IF(F14=0,"TAMBAHKAN MATERI","TERPETAKAN")))</x:f>
        <x:v>TERPETAKAN</x:v>
      </x:c>
    </x:row>
    <x:row r="15" ht="45" customHeight="1">
      <x:c r="A15" s="12">
        <x:v>2</x:v>
      </x:c>
      <x:c r="B15" s="9" t="s">
        <x:v>76</x:v>
      </x:c>
      <x:c r="C15" s="9" t="s">
        <x:v>77</x:v>
      </x:c>
      <x:c r="D15" s="9" t="s">
        <x:v>74</x:v>
      </x:c>
      <x:c r="E15" s="9" t="s">
        <x:v>78</x:v>
      </x:c>
      <x:c r="F15" s="13">
        <x:f t="shared" si="0"/>
        <x:v>2</x:v>
      </x:c>
      <x:c r="G15" s="13" t="str">
        <x:f t="shared" si="1"/>
        <x:v>TERPETAKAN</x:v>
      </x:c>
    </x:row>
    <x:row r="16" ht="45" customHeight="1">
      <x:c r="A16" s="12">
        <x:v>3</x:v>
      </x:c>
      <x:c r="B16" s="9"/>
      <x:c r="C16" s="9"/>
      <x:c r="D16" s="9"/>
      <x:c r="E16" s="9"/>
      <x:c r="F16" s="13" t="str">
        <x:f t="shared" si="0"/>
      </x:c>
      <x:c r="G16" s="13" t="str">
        <x:f t="shared" si="1"/>
        <x:v>BELUM DIISI</x:v>
      </x:c>
    </x:row>
    <x:row r="17" ht="45" customHeight="1">
      <x:c r="A17" s="12">
        <x:v>4</x:v>
      </x:c>
      <x:c r="B17" s="9"/>
      <x:c r="C17" s="9"/>
      <x:c r="D17" s="9"/>
      <x:c r="E17" s="9"/>
      <x:c r="F17" s="13" t="str">
        <x:f t="shared" si="0"/>
      </x:c>
      <x:c r="G17" s="13" t="str">
        <x:f t="shared" si="1"/>
        <x:v>BELUM DIISI</x:v>
      </x:c>
    </x:row>
    <x:row r="18" ht="45" customHeight="1">
      <x:c r="A18" s="12">
        <x:v>5</x:v>
      </x:c>
      <x:c r="B18" s="9"/>
      <x:c r="C18" s="9"/>
      <x:c r="D18" s="9"/>
      <x:c r="E18" s="9"/>
      <x:c r="F18" s="13" t="str">
        <x:f t="shared" si="0"/>
      </x:c>
      <x:c r="G18" s="13" t="str">
        <x:f t="shared" si="1"/>
        <x:v>BELUM DIISI</x:v>
      </x:c>
    </x:row>
    <x:row r="19" ht="45" customHeight="1">
      <x:c r="A19" s="12">
        <x:v>6</x:v>
      </x:c>
      <x:c r="B19" s="9"/>
      <x:c r="C19" s="9"/>
      <x:c r="D19" s="9"/>
      <x:c r="E19" s="9"/>
      <x:c r="F19" s="13" t="str">
        <x:f t="shared" si="0"/>
      </x:c>
      <x:c r="G19" s="13" t="str">
        <x:f t="shared" si="1"/>
        <x:v>BELUM DIISI</x:v>
      </x:c>
    </x:row>
    <x:row r="20" ht="45" customHeight="1">
      <x:c r="A20" s="12">
        <x:v>7</x:v>
      </x:c>
      <x:c r="B20" s="9"/>
      <x:c r="C20" s="9"/>
      <x:c r="D20" s="9"/>
      <x:c r="E20" s="9"/>
      <x:c r="F20" s="13" t="str">
        <x:f t="shared" si="0"/>
      </x:c>
      <x:c r="G20" s="13" t="str">
        <x:f t="shared" si="1"/>
        <x:v>BELUM DIISI</x:v>
      </x:c>
    </x:row>
    <x:row r="21" ht="45" customHeight="1">
      <x:c r="A21" s="12">
        <x:v>8</x:v>
      </x:c>
      <x:c r="B21" s="9"/>
      <x:c r="C21" s="9"/>
      <x:c r="D21" s="9"/>
      <x:c r="E21" s="9"/>
      <x:c r="F21" s="13" t="str">
        <x:f t="shared" si="0"/>
      </x:c>
      <x:c r="G21" s="13" t="str">
        <x:f t="shared" si="1"/>
        <x:v>BELUM DIISI</x:v>
      </x:c>
    </x:row>
    <x:row r="22" ht="45" customHeight="1">
      <x:c r="A22" s="12">
        <x:v>9</x:v>
      </x:c>
      <x:c r="B22" s="9"/>
      <x:c r="C22" s="9"/>
      <x:c r="D22" s="9"/>
      <x:c r="E22" s="9"/>
      <x:c r="F22" s="13" t="str">
        <x:f t="shared" si="0"/>
      </x:c>
      <x:c r="G22" s="13" t="str">
        <x:f t="shared" si="1"/>
        <x:v>BELUM DIISI</x:v>
      </x:c>
    </x:row>
    <x:row r="23" ht="45" customHeight="1">
      <x:c r="A23" s="12">
        <x:v>10</x:v>
      </x:c>
      <x:c r="B23" s="9"/>
      <x:c r="C23" s="9"/>
      <x:c r="D23" s="9"/>
      <x:c r="E23" s="9"/>
      <x:c r="F23" s="13" t="str">
        <x:f t="shared" si="0"/>
      </x:c>
      <x:c r="G23" s="13" t="str">
        <x:f t="shared" si="1"/>
        <x:v>BELUM DIISI</x:v>
      </x:c>
    </x:row>
    <x:row r="24" ht="45" customHeight="1">
      <x:c r="A24" s="12">
        <x:v>11</x:v>
      </x:c>
      <x:c r="B24" s="9"/>
      <x:c r="C24" s="9"/>
      <x:c r="D24" s="9"/>
      <x:c r="E24" s="9"/>
      <x:c r="F24" s="13" t="str">
        <x:f t="shared" si="0"/>
      </x:c>
      <x:c r="G24" s="13" t="str">
        <x:f t="shared" si="1"/>
        <x:v>BELUM DIISI</x:v>
      </x:c>
    </x:row>
    <x:row r="25" ht="45" customHeight="1">
      <x:c r="A25" s="12">
        <x:v>12</x:v>
      </x:c>
      <x:c r="B25" s="9"/>
      <x:c r="C25" s="9"/>
      <x:c r="D25" s="9"/>
      <x:c r="E25" s="9"/>
      <x:c r="F25" s="13" t="str">
        <x:f t="shared" si="0"/>
      </x:c>
      <x:c r="G25" s="13" t="str">
        <x:f t="shared" si="1"/>
        <x:v>BELUM DIISI</x:v>
      </x:c>
    </x:row>
    <x:row r="26" ht="9.949999809265137" customHeight="1"/>
    <x:row r="27">
      <x:c r="A27" s="32" t="s">
        <x:v>79</x:v>
      </x:c>
      <x:c r="B27" s="32"/>
      <x:c r="C27" s="32"/>
      <x:c r="D27" s="32"/>
      <x:c r="E27" s="32"/>
      <x:c r="F27" s="32"/>
      <x:c r="G27" s="32"/>
    </x:row>
    <x:row r="28" ht="9.949999809265137" customHeight="1"/>
    <x:row r="29" ht="9.949999809265137" customHeight="1"/>
    <x:row r="30" ht="29.100000381469727" customHeight="1">
      <x:c r="A30" s="25" t="str">
        <x:v>BAGIAN B    •    DAFTAR MATERI / SUBBAB UNTUK SETIAP TP</x:v>
      </x:c>
      <x:c r="B30" s="25"/>
      <x:c r="C30" s="25"/>
      <x:c r="D30" s="25"/>
      <x:c r="E30" s="25"/>
      <x:c r="F30" s="25"/>
      <x:c r="G30" s="25"/>
    </x:row>
    <x:row r="31">
      <x:c r="A31" s="32" t="str">
        <x:v>Pilih nomor TP, isi judul materi. Urutan materi dihitung otomatis sesuai urutan baris untuk TP yang sama.</x:v>
      </x:c>
      <x:c r="B31" s="32"/>
      <x:c r="C31" s="32"/>
      <x:c r="D31" s="32"/>
      <x:c r="E31" s="32"/>
      <x:c r="F31" s="32"/>
      <x:c r="G31" s="32"/>
    </x:row>
    <x:row r="32">
      <x:c r="A32" s="32" t="s">
        <x:v>80</x:v>
      </x:c>
      <x:c r="B32" s="32"/>
      <x:c r="C32" s="32"/>
      <x:c r="D32" s="32"/>
      <x:c r="E32" s="32"/>
      <x:c r="F32" s="32"/>
      <x:c r="G32" s="32"/>
    </x:row>
    <x:row r="33" ht="9.949999809265137" customHeight="1"/>
    <x:row r="34" ht="42" customHeight="1">
      <x:c r="A34" s="7" t="s">
        <x:v>43</x:v>
      </x:c>
      <x:c r="B34" s="7" t="str">
        <x:v>UNTUK TP</x:v>
      </x:c>
      <x:c r="C34" s="7" t="s">
        <x:v>56</x:v>
      </x:c>
      <x:c r="D34" s="7" t="s">
        <x:v>57</x:v>
      </x:c>
      <x:c r="E34" s="7" t="s">
        <x:v>58</x:v>
      </x:c>
      <x:c r="F34" s="7" t="s">
        <x:v>59</x:v>
      </x:c>
      <x:c r="G34" s="7" t="s">
        <x:v>55</x:v>
      </x:c>
    </x:row>
    <x:row r="35" ht="30.950000762939453" customHeight="1">
      <x:c r="A35" s="8">
        <x:v>1</x:v>
      </x:c>
      <x:c r="B35" s="14">
        <x:v>1</x:v>
      </x:c>
      <x:c r="C35" s="16" t="s">
        <x:v>81</x:v>
      </x:c>
      <x:c r="D35" s="15" t="n">
        <x:f>IF(B35="","",COUNTIF($B$35:B35,B35))</x:f>
        <x:v>1</x:v>
      </x:c>
      <x:c r="E35" s="9" t="s">
        <x:v>82</x:v>
      </x:c>
      <x:c r="F35" s="9" t="s">
        <x:v>83</x:v>
      </x:c>
      <x:c r="G35" s="13" t="str">
        <x:f t="shared" ref="G35:G66" si="2">IF(AND(B35="",C35=""),"BELUM DIISI",IF(OR(B35="",C35=""),"LENGKAPI",IF(IFERROR(INDEX($B$14:$B$25,B35),"")="","TP BELUM ADA","TERPETAKAN")))</x:f>
        <x:v>TERPETAKAN</x:v>
      </x:c>
    </x:row>
    <x:row r="36" ht="30.950000762939453" customHeight="1">
      <x:c r="A36" s="8">
        <x:v>2</x:v>
      </x:c>
      <x:c r="B36" s="14">
        <x:v>1</x:v>
      </x:c>
      <x:c r="C36" s="16" t="s">
        <x:v>84</x:v>
      </x:c>
      <x:c r="D36" s="15" t="n">
        <x:f>IF(B36="","",COUNTIF($B$35:B36,B36))</x:f>
        <x:v>2</x:v>
      </x:c>
      <x:c r="E36" s="9" t="s">
        <x:v>85</x:v>
      </x:c>
      <x:c r="F36" s="9" t="s">
        <x:v>86</x:v>
      </x:c>
      <x:c r="G36" s="13" t="str">
        <x:f t="shared" si="2"/>
        <x:v>TERPETAKAN</x:v>
      </x:c>
    </x:row>
    <x:row r="37" ht="30.950000762939453" customHeight="1">
      <x:c r="A37" s="8">
        <x:v>3</x:v>
      </x:c>
      <x:c r="B37" s="14">
        <x:v>1</x:v>
      </x:c>
      <x:c r="C37" s="16" t="s">
        <x:v>87</x:v>
      </x:c>
      <x:c r="D37" s="15" t="n">
        <x:f>IF(B37="","",COUNTIF($B$35:B37,B37))</x:f>
        <x:v>3</x:v>
      </x:c>
      <x:c r="E37" s="9" t="s">
        <x:v>88</x:v>
      </x:c>
      <x:c r="F37" s="9" t="s">
        <x:v>89</x:v>
      </x:c>
      <x:c r="G37" s="13" t="str">
        <x:f t="shared" si="2"/>
        <x:v>TERPETAKAN</x:v>
      </x:c>
    </x:row>
    <x:row r="38" ht="30.950000762939453" customHeight="1">
      <x:c r="A38" s="8">
        <x:v>4</x:v>
      </x:c>
      <x:c r="B38" s="14">
        <x:v>2</x:v>
      </x:c>
      <x:c r="C38" s="16" t="s">
        <x:v>90</x:v>
      </x:c>
      <x:c r="D38" s="15" t="n">
        <x:f>IF(B38="","",COUNTIF($B$35:B38,B38))</x:f>
        <x:v>1</x:v>
      </x:c>
      <x:c r="E38" s="9" t="s">
        <x:v>82</x:v>
      </x:c>
      <x:c r="F38" s="9" t="s">
        <x:v>91</x:v>
      </x:c>
      <x:c r="G38" s="13" t="str">
        <x:f t="shared" si="2"/>
        <x:v>TERPETAKAN</x:v>
      </x:c>
    </x:row>
    <x:row r="39" ht="30.950000762939453" customHeight="1">
      <x:c r="A39" s="8">
        <x:v>5</x:v>
      </x:c>
      <x:c r="B39" s="14">
        <x:v>2</x:v>
      </x:c>
      <x:c r="C39" s="16" t="s">
        <x:v>92</x:v>
      </x:c>
      <x:c r="D39" s="15" t="n">
        <x:f>IF(B39="","",COUNTIF($B$35:B39,B39))</x:f>
        <x:v>2</x:v>
      </x:c>
      <x:c r="E39" s="9" t="s">
        <x:v>93</x:v>
      </x:c>
      <x:c r="F39" s="9" t="s">
        <x:v>94</x:v>
      </x:c>
      <x:c r="G39" s="13" t="str">
        <x:f t="shared" si="2"/>
        <x:v>TERPETAKAN</x:v>
      </x:c>
    </x:row>
    <x:row r="40" ht="30.950000762939453" customHeight="1">
      <x:c r="A40" s="8">
        <x:v>6</x:v>
      </x:c>
      <x:c r="B40" s="14"/>
      <x:c r="C40" s="16"/>
      <x:c r="D40" s="15" t="str">
        <x:f>IF(B40="","",COUNTIF($B$35:B40,B40))</x:f>
      </x:c>
      <x:c r="E40" s="9"/>
      <x:c r="F40" s="9"/>
      <x:c r="G40" s="13" t="str">
        <x:f t="shared" si="2"/>
        <x:v>BELUM DIISI</x:v>
      </x:c>
    </x:row>
    <x:row r="41" ht="30.950000762939453" customHeight="1">
      <x:c r="A41" s="8">
        <x:v>7</x:v>
      </x:c>
      <x:c r="B41" s="14"/>
      <x:c r="C41" s="16"/>
      <x:c r="D41" s="15" t="str">
        <x:f>IF(B41="","",COUNTIF($B$35:B41,B41))</x:f>
      </x:c>
      <x:c r="E41" s="9"/>
      <x:c r="F41" s="9"/>
      <x:c r="G41" s="13" t="str">
        <x:f t="shared" si="2"/>
        <x:v>BELUM DIISI</x:v>
      </x:c>
    </x:row>
    <x:row r="42" ht="30.950000762939453" customHeight="1">
      <x:c r="A42" s="8">
        <x:v>8</x:v>
      </x:c>
      <x:c r="B42" s="14"/>
      <x:c r="C42" s="16"/>
      <x:c r="D42" s="15" t="str">
        <x:f>IF(B42="","",COUNTIF($B$35:B42,B42))</x:f>
      </x:c>
      <x:c r="E42" s="9"/>
      <x:c r="F42" s="9"/>
      <x:c r="G42" s="13" t="str">
        <x:f t="shared" si="2"/>
        <x:v>BELUM DIISI</x:v>
      </x:c>
    </x:row>
    <x:row r="43" ht="30.950000762939453" customHeight="1">
      <x:c r="A43" s="8">
        <x:v>9</x:v>
      </x:c>
      <x:c r="B43" s="14"/>
      <x:c r="C43" s="16"/>
      <x:c r="D43" s="15" t="str">
        <x:f>IF(B43="","",COUNTIF($B$35:B43,B43))</x:f>
      </x:c>
      <x:c r="E43" s="9"/>
      <x:c r="F43" s="9"/>
      <x:c r="G43" s="13" t="str">
        <x:f t="shared" si="2"/>
        <x:v>BELUM DIISI</x:v>
      </x:c>
    </x:row>
    <x:row r="44" ht="30.950000762939453" customHeight="1">
      <x:c r="A44" s="8">
        <x:v>10</x:v>
      </x:c>
      <x:c r="B44" s="14"/>
      <x:c r="C44" s="16"/>
      <x:c r="D44" s="15" t="str">
        <x:f>IF(B44="","",COUNTIF($B$35:B44,B44))</x:f>
      </x:c>
      <x:c r="E44" s="9"/>
      <x:c r="F44" s="9"/>
      <x:c r="G44" s="13" t="str">
        <x:f t="shared" si="2"/>
        <x:v>BELUM DIISI</x:v>
      </x:c>
    </x:row>
    <x:row r="45" ht="30.950000762939453" customHeight="1">
      <x:c r="A45" s="8">
        <x:v>11</x:v>
      </x:c>
      <x:c r="B45" s="14"/>
      <x:c r="C45" s="16"/>
      <x:c r="D45" s="15" t="str">
        <x:f>IF(B45="","",COUNTIF($B$35:B45,B45))</x:f>
      </x:c>
      <x:c r="E45" s="9"/>
      <x:c r="F45" s="9"/>
      <x:c r="G45" s="13" t="str">
        <x:f t="shared" si="2"/>
        <x:v>BELUM DIISI</x:v>
      </x:c>
    </x:row>
    <x:row r="46" ht="30.950000762939453" customHeight="1">
      <x:c r="A46" s="8">
        <x:v>12</x:v>
      </x:c>
      <x:c r="B46" s="14"/>
      <x:c r="C46" s="16"/>
      <x:c r="D46" s="15" t="str">
        <x:f>IF(B46="","",COUNTIF($B$35:B46,B46))</x:f>
      </x:c>
      <x:c r="E46" s="9"/>
      <x:c r="F46" s="9"/>
      <x:c r="G46" s="13" t="str">
        <x:f t="shared" si="2"/>
        <x:v>BELUM DIISI</x:v>
      </x:c>
    </x:row>
    <x:row r="47" ht="30.950000762939453" customHeight="1">
      <x:c r="A47" s="8">
        <x:v>13</x:v>
      </x:c>
      <x:c r="B47" s="14"/>
      <x:c r="C47" s="16"/>
      <x:c r="D47" s="15" t="str">
        <x:f>IF(B47="","",COUNTIF($B$35:B47,B47))</x:f>
      </x:c>
      <x:c r="E47" s="9"/>
      <x:c r="F47" s="9"/>
      <x:c r="G47" s="13" t="str">
        <x:f t="shared" si="2"/>
        <x:v>BELUM DIISI</x:v>
      </x:c>
    </x:row>
    <x:row r="48" ht="30.950000762939453" customHeight="1">
      <x:c r="A48" s="8">
        <x:v>14</x:v>
      </x:c>
      <x:c r="B48" s="14"/>
      <x:c r="C48" s="16"/>
      <x:c r="D48" s="15" t="str">
        <x:f>IF(B48="","",COUNTIF($B$35:B48,B48))</x:f>
      </x:c>
      <x:c r="E48" s="9"/>
      <x:c r="F48" s="9"/>
      <x:c r="G48" s="13" t="str">
        <x:f t="shared" si="2"/>
        <x:v>BELUM DIISI</x:v>
      </x:c>
    </x:row>
    <x:row r="49" ht="30.950000762939453" customHeight="1">
      <x:c r="A49" s="8">
        <x:v>15</x:v>
      </x:c>
      <x:c r="B49" s="14"/>
      <x:c r="C49" s="16"/>
      <x:c r="D49" s="15" t="str">
        <x:f>IF(B49="","",COUNTIF($B$35:B49,B49))</x:f>
      </x:c>
      <x:c r="E49" s="9"/>
      <x:c r="F49" s="9"/>
      <x:c r="G49" s="13" t="str">
        <x:f t="shared" si="2"/>
        <x:v>BELUM DIISI</x:v>
      </x:c>
    </x:row>
    <x:row r="50" ht="30.950000762939453" customHeight="1">
      <x:c r="A50" s="8">
        <x:v>16</x:v>
      </x:c>
      <x:c r="B50" s="14"/>
      <x:c r="C50" s="16"/>
      <x:c r="D50" s="15" t="str">
        <x:f>IF(B50="","",COUNTIF($B$35:B50,B50))</x:f>
      </x:c>
      <x:c r="E50" s="9"/>
      <x:c r="F50" s="9"/>
      <x:c r="G50" s="13" t="str">
        <x:f t="shared" si="2"/>
        <x:v>BELUM DIISI</x:v>
      </x:c>
    </x:row>
    <x:row r="51" ht="30.950000762939453" customHeight="1">
      <x:c r="A51" s="8">
        <x:v>17</x:v>
      </x:c>
      <x:c r="B51" s="14"/>
      <x:c r="C51" s="16"/>
      <x:c r="D51" s="15" t="str">
        <x:f>IF(B51="","",COUNTIF($B$35:B51,B51))</x:f>
      </x:c>
      <x:c r="E51" s="9"/>
      <x:c r="F51" s="9"/>
      <x:c r="G51" s="13" t="str">
        <x:f t="shared" si="2"/>
        <x:v>BELUM DIISI</x:v>
      </x:c>
    </x:row>
    <x:row r="52" ht="30.950000762939453" customHeight="1">
      <x:c r="A52" s="8">
        <x:v>18</x:v>
      </x:c>
      <x:c r="B52" s="14"/>
      <x:c r="C52" s="16"/>
      <x:c r="D52" s="15" t="str">
        <x:f>IF(B52="","",COUNTIF($B$35:B52,B52))</x:f>
      </x:c>
      <x:c r="E52" s="9"/>
      <x:c r="F52" s="9"/>
      <x:c r="G52" s="13" t="str">
        <x:f t="shared" si="2"/>
        <x:v>BELUM DIISI</x:v>
      </x:c>
    </x:row>
    <x:row r="53" ht="30.950000762939453" customHeight="1">
      <x:c r="A53" s="8">
        <x:v>19</x:v>
      </x:c>
      <x:c r="B53" s="14"/>
      <x:c r="C53" s="16"/>
      <x:c r="D53" s="15" t="str">
        <x:f>IF(B53="","",COUNTIF($B$35:B53,B53))</x:f>
      </x:c>
      <x:c r="E53" s="9"/>
      <x:c r="F53" s="9"/>
      <x:c r="G53" s="13" t="str">
        <x:f t="shared" si="2"/>
        <x:v>BELUM DIISI</x:v>
      </x:c>
    </x:row>
    <x:row r="54" ht="30.950000762939453" customHeight="1">
      <x:c r="A54" s="8">
        <x:v>20</x:v>
      </x:c>
      <x:c r="B54" s="14"/>
      <x:c r="C54" s="16"/>
      <x:c r="D54" s="15" t="str">
        <x:f>IF(B54="","",COUNTIF($B$35:B54,B54))</x:f>
      </x:c>
      <x:c r="E54" s="9"/>
      <x:c r="F54" s="9"/>
      <x:c r="G54" s="13" t="str">
        <x:f t="shared" si="2"/>
        <x:v>BELUM DIISI</x:v>
      </x:c>
    </x:row>
    <x:row r="55" ht="30.950000762939453" customHeight="1">
      <x:c r="A55" s="8">
        <x:v>21</x:v>
      </x:c>
      <x:c r="B55" s="14"/>
      <x:c r="C55" s="16"/>
      <x:c r="D55" s="15" t="str">
        <x:f>IF(B55="","",COUNTIF($B$35:B55,B55))</x:f>
      </x:c>
      <x:c r="E55" s="9"/>
      <x:c r="F55" s="9"/>
      <x:c r="G55" s="13" t="str">
        <x:f t="shared" si="2"/>
        <x:v>BELUM DIISI</x:v>
      </x:c>
    </x:row>
    <x:row r="56" ht="30.950000762939453" customHeight="1">
      <x:c r="A56" s="8">
        <x:v>22</x:v>
      </x:c>
      <x:c r="B56" s="14"/>
      <x:c r="C56" s="16"/>
      <x:c r="D56" s="15" t="str">
        <x:f>IF(B56="","",COUNTIF($B$35:B56,B56))</x:f>
      </x:c>
      <x:c r="E56" s="9"/>
      <x:c r="F56" s="9"/>
      <x:c r="G56" s="13" t="str">
        <x:f t="shared" si="2"/>
        <x:v>BELUM DIISI</x:v>
      </x:c>
    </x:row>
    <x:row r="57" ht="30.950000762939453" customHeight="1">
      <x:c r="A57" s="8">
        <x:v>23</x:v>
      </x:c>
      <x:c r="B57" s="14"/>
      <x:c r="C57" s="16"/>
      <x:c r="D57" s="15" t="str">
        <x:f>IF(B57="","",COUNTIF($B$35:B57,B57))</x:f>
      </x:c>
      <x:c r="E57" s="9"/>
      <x:c r="F57" s="9"/>
      <x:c r="G57" s="13" t="str">
        <x:f t="shared" si="2"/>
        <x:v>BELUM DIISI</x:v>
      </x:c>
    </x:row>
    <x:row r="58" ht="30.950000762939453" customHeight="1">
      <x:c r="A58" s="8">
        <x:v>24</x:v>
      </x:c>
      <x:c r="B58" s="14"/>
      <x:c r="C58" s="16"/>
      <x:c r="D58" s="15" t="str">
        <x:f>IF(B58="","",COUNTIF($B$35:B58,B58))</x:f>
      </x:c>
      <x:c r="E58" s="9"/>
      <x:c r="F58" s="9"/>
      <x:c r="G58" s="13" t="str">
        <x:f t="shared" si="2"/>
        <x:v>BELUM DIISI</x:v>
      </x:c>
    </x:row>
    <x:row r="59" ht="30.950000762939453" customHeight="1">
      <x:c r="A59" s="8">
        <x:v>25</x:v>
      </x:c>
      <x:c r="B59" s="14"/>
      <x:c r="C59" s="16"/>
      <x:c r="D59" s="15" t="str">
        <x:f>IF(B59="","",COUNTIF($B$35:B59,B59))</x:f>
      </x:c>
      <x:c r="E59" s="9"/>
      <x:c r="F59" s="9"/>
      <x:c r="G59" s="13" t="str">
        <x:f t="shared" si="2"/>
        <x:v>BELUM DIISI</x:v>
      </x:c>
    </x:row>
    <x:row r="60" ht="30.950000762939453" customHeight="1">
      <x:c r="A60" s="8">
        <x:v>26</x:v>
      </x:c>
      <x:c r="B60" s="14"/>
      <x:c r="C60" s="16"/>
      <x:c r="D60" s="15" t="str">
        <x:f>IF(B60="","",COUNTIF($B$35:B60,B60))</x:f>
      </x:c>
      <x:c r="E60" s="9"/>
      <x:c r="F60" s="9"/>
      <x:c r="G60" s="13" t="str">
        <x:f t="shared" si="2"/>
        <x:v>BELUM DIISI</x:v>
      </x:c>
    </x:row>
    <x:row r="61" ht="30.950000762939453" customHeight="1">
      <x:c r="A61" s="8">
        <x:v>27</x:v>
      </x:c>
      <x:c r="B61" s="14"/>
      <x:c r="C61" s="16"/>
      <x:c r="D61" s="15" t="str">
        <x:f>IF(B61="","",COUNTIF($B$35:B61,B61))</x:f>
      </x:c>
      <x:c r="E61" s="9"/>
      <x:c r="F61" s="9"/>
      <x:c r="G61" s="13" t="str">
        <x:f t="shared" si="2"/>
        <x:v>BELUM DIISI</x:v>
      </x:c>
    </x:row>
    <x:row r="62" ht="30.950000762939453" customHeight="1">
      <x:c r="A62" s="8">
        <x:v>28</x:v>
      </x:c>
      <x:c r="B62" s="14"/>
      <x:c r="C62" s="16"/>
      <x:c r="D62" s="15" t="str">
        <x:f>IF(B62="","",COUNTIF($B$35:B62,B62))</x:f>
      </x:c>
      <x:c r="E62" s="9"/>
      <x:c r="F62" s="9"/>
      <x:c r="G62" s="13" t="str">
        <x:f t="shared" si="2"/>
        <x:v>BELUM DIISI</x:v>
      </x:c>
    </x:row>
    <x:row r="63" ht="30.950000762939453" customHeight="1">
      <x:c r="A63" s="8">
        <x:v>29</x:v>
      </x:c>
      <x:c r="B63" s="14"/>
      <x:c r="C63" s="16"/>
      <x:c r="D63" s="15" t="str">
        <x:f>IF(B63="","",COUNTIF($B$35:B63,B63))</x:f>
      </x:c>
      <x:c r="E63" s="9"/>
      <x:c r="F63" s="9"/>
      <x:c r="G63" s="13" t="str">
        <x:f t="shared" si="2"/>
        <x:v>BELUM DIISI</x:v>
      </x:c>
    </x:row>
    <x:row r="64" ht="30.950000762939453" customHeight="1">
      <x:c r="A64" s="8">
        <x:v>30</x:v>
      </x:c>
      <x:c r="B64" s="14"/>
      <x:c r="C64" s="16"/>
      <x:c r="D64" s="15" t="str">
        <x:f>IF(B64="","",COUNTIF($B$35:B64,B64))</x:f>
      </x:c>
      <x:c r="E64" s="9"/>
      <x:c r="F64" s="9"/>
      <x:c r="G64" s="13" t="str">
        <x:f t="shared" si="2"/>
        <x:v>BELUM DIISI</x:v>
      </x:c>
    </x:row>
    <x:row r="65" ht="30.950000762939453" customHeight="1">
      <x:c r="A65" s="8">
        <x:v>31</x:v>
      </x:c>
      <x:c r="B65" s="14"/>
      <x:c r="C65" s="16"/>
      <x:c r="D65" s="15" t="str">
        <x:f>IF(B65="","",COUNTIF($B$35:B65,B65))</x:f>
      </x:c>
      <x:c r="E65" s="9"/>
      <x:c r="F65" s="9"/>
      <x:c r="G65" s="13" t="str">
        <x:f t="shared" si="2"/>
        <x:v>BELUM DIISI</x:v>
      </x:c>
    </x:row>
    <x:row r="66" ht="30.950000762939453" customHeight="1">
      <x:c r="A66" s="8">
        <x:v>32</x:v>
      </x:c>
      <x:c r="B66" s="14"/>
      <x:c r="C66" s="16"/>
      <x:c r="D66" s="15" t="str">
        <x:f>IF(B66="","",COUNTIF($B$35:B66,B66))</x:f>
      </x:c>
      <x:c r="E66" s="9"/>
      <x:c r="F66" s="9"/>
      <x:c r="G66" s="13" t="str">
        <x:f t="shared" si="2"/>
        <x:v>BELUM DIISI</x:v>
      </x:c>
    </x:row>
    <x:row r="67" ht="30.950000762939453" customHeight="1">
      <x:c r="A67" s="8">
        <x:v>33</x:v>
      </x:c>
      <x:c r="B67" s="14"/>
      <x:c r="C67" s="16"/>
      <x:c r="D67" s="15" t="str">
        <x:f>IF(B67="","",COUNTIF($B$35:B67,B67))</x:f>
      </x:c>
      <x:c r="E67" s="9"/>
      <x:c r="F67" s="9"/>
      <x:c r="G67" s="13" t="str">
        <x:f t="shared" ref="G67:G94" si="3">IF(AND(B67="",C67=""),"BELUM DIISI",IF(OR(B67="",C67=""),"LENGKAPI",IF(IFERROR(INDEX($B$14:$B$25,B67),"")="","TP BELUM ADA","TERPETAKAN")))</x:f>
        <x:v>BELUM DIISI</x:v>
      </x:c>
    </x:row>
    <x:row r="68" ht="30.950000762939453" customHeight="1">
      <x:c r="A68" s="8">
        <x:v>34</x:v>
      </x:c>
      <x:c r="B68" s="14"/>
      <x:c r="C68" s="16"/>
      <x:c r="D68" s="15" t="str">
        <x:f>IF(B68="","",COUNTIF($B$35:B68,B68))</x:f>
      </x:c>
      <x:c r="E68" s="9"/>
      <x:c r="F68" s="9"/>
      <x:c r="G68" s="13" t="str">
        <x:f t="shared" si="3"/>
        <x:v>BELUM DIISI</x:v>
      </x:c>
    </x:row>
    <x:row r="69" ht="30.950000762939453" customHeight="1">
      <x:c r="A69" s="8">
        <x:v>35</x:v>
      </x:c>
      <x:c r="B69" s="14"/>
      <x:c r="C69" s="16"/>
      <x:c r="D69" s="15" t="str">
        <x:f>IF(B69="","",COUNTIF($B$35:B69,B69))</x:f>
      </x:c>
      <x:c r="E69" s="9"/>
      <x:c r="F69" s="9"/>
      <x:c r="G69" s="13" t="str">
        <x:f t="shared" si="3"/>
        <x:v>BELUM DIISI</x:v>
      </x:c>
    </x:row>
    <x:row r="70" ht="30.950000762939453" customHeight="1">
      <x:c r="A70" s="8">
        <x:v>36</x:v>
      </x:c>
      <x:c r="B70" s="14"/>
      <x:c r="C70" s="16"/>
      <x:c r="D70" s="15" t="str">
        <x:f>IF(B70="","",COUNTIF($B$35:B70,B70))</x:f>
      </x:c>
      <x:c r="E70" s="9"/>
      <x:c r="F70" s="9"/>
      <x:c r="G70" s="13" t="str">
        <x:f t="shared" si="3"/>
        <x:v>BELUM DIISI</x:v>
      </x:c>
    </x:row>
    <x:row r="71" ht="30.950000762939453" customHeight="1">
      <x:c r="A71" s="8">
        <x:v>37</x:v>
      </x:c>
      <x:c r="B71" s="14"/>
      <x:c r="C71" s="16"/>
      <x:c r="D71" s="15" t="str">
        <x:f>IF(B71="","",COUNTIF($B$35:B71,B71))</x:f>
      </x:c>
      <x:c r="E71" s="9"/>
      <x:c r="F71" s="9"/>
      <x:c r="G71" s="13" t="str">
        <x:f t="shared" si="3"/>
        <x:v>BELUM DIISI</x:v>
      </x:c>
    </x:row>
    <x:row r="72" ht="30.950000762939453" customHeight="1">
      <x:c r="A72" s="8">
        <x:v>38</x:v>
      </x:c>
      <x:c r="B72" s="14"/>
      <x:c r="C72" s="16"/>
      <x:c r="D72" s="15" t="str">
        <x:f>IF(B72="","",COUNTIF($B$35:B72,B72))</x:f>
      </x:c>
      <x:c r="E72" s="9"/>
      <x:c r="F72" s="9"/>
      <x:c r="G72" s="13" t="str">
        <x:f t="shared" si="3"/>
        <x:v>BELUM DIISI</x:v>
      </x:c>
    </x:row>
    <x:row r="73" ht="30.950000762939453" customHeight="1">
      <x:c r="A73" s="8">
        <x:v>39</x:v>
      </x:c>
      <x:c r="B73" s="14"/>
      <x:c r="C73" s="16"/>
      <x:c r="D73" s="15" t="str">
        <x:f>IF(B73="","",COUNTIF($B$35:B73,B73))</x:f>
      </x:c>
      <x:c r="E73" s="9"/>
      <x:c r="F73" s="9"/>
      <x:c r="G73" s="13" t="str">
        <x:f t="shared" si="3"/>
        <x:v>BELUM DIISI</x:v>
      </x:c>
    </x:row>
    <x:row r="74" ht="30.950000762939453" customHeight="1">
      <x:c r="A74" s="8">
        <x:v>40</x:v>
      </x:c>
      <x:c r="B74" s="14"/>
      <x:c r="C74" s="16"/>
      <x:c r="D74" s="15" t="str">
        <x:f>IF(B74="","",COUNTIF($B$35:B74,B74))</x:f>
      </x:c>
      <x:c r="E74" s="9"/>
      <x:c r="F74" s="9"/>
      <x:c r="G74" s="13" t="str">
        <x:f t="shared" si="3"/>
        <x:v>BELUM DIISI</x:v>
      </x:c>
    </x:row>
    <x:row r="75" ht="30.950000762939453" customHeight="1">
      <x:c r="A75" s="8">
        <x:v>41</x:v>
      </x:c>
      <x:c r="B75" s="14"/>
      <x:c r="C75" s="16"/>
      <x:c r="D75" s="15" t="str">
        <x:f>IF(B75="","",COUNTIF($B$35:B75,B75))</x:f>
      </x:c>
      <x:c r="E75" s="9"/>
      <x:c r="F75" s="9"/>
      <x:c r="G75" s="13" t="str">
        <x:f t="shared" si="3"/>
        <x:v>BELUM DIISI</x:v>
      </x:c>
    </x:row>
    <x:row r="76" ht="30.950000762939453" customHeight="1">
      <x:c r="A76" s="8">
        <x:v>42</x:v>
      </x:c>
      <x:c r="B76" s="14"/>
      <x:c r="C76" s="16"/>
      <x:c r="D76" s="15" t="str">
        <x:f>IF(B76="","",COUNTIF($B$35:B76,B76))</x:f>
      </x:c>
      <x:c r="E76" s="9"/>
      <x:c r="F76" s="9"/>
      <x:c r="G76" s="13" t="str">
        <x:f t="shared" si="3"/>
        <x:v>BELUM DIISI</x:v>
      </x:c>
    </x:row>
    <x:row r="77" ht="30.950000762939453" customHeight="1">
      <x:c r="A77" s="8">
        <x:v>43</x:v>
      </x:c>
      <x:c r="B77" s="14"/>
      <x:c r="C77" s="16"/>
      <x:c r="D77" s="15" t="str">
        <x:f>IF(B77="","",COUNTIF($B$35:B77,B77))</x:f>
      </x:c>
      <x:c r="E77" s="9"/>
      <x:c r="F77" s="9"/>
      <x:c r="G77" s="13" t="str">
        <x:f t="shared" si="3"/>
        <x:v>BELUM DIISI</x:v>
      </x:c>
    </x:row>
    <x:row r="78" ht="30.950000762939453" customHeight="1">
      <x:c r="A78" s="8">
        <x:v>44</x:v>
      </x:c>
      <x:c r="B78" s="14"/>
      <x:c r="C78" s="16"/>
      <x:c r="D78" s="15" t="str">
        <x:f>IF(B78="","",COUNTIF($B$35:B78,B78))</x:f>
      </x:c>
      <x:c r="E78" s="9"/>
      <x:c r="F78" s="9"/>
      <x:c r="G78" s="13" t="str">
        <x:f t="shared" si="3"/>
        <x:v>BELUM DIISI</x:v>
      </x:c>
    </x:row>
    <x:row r="79" ht="30.950000762939453" customHeight="1">
      <x:c r="A79" s="8">
        <x:v>45</x:v>
      </x:c>
      <x:c r="B79" s="14"/>
      <x:c r="C79" s="16"/>
      <x:c r="D79" s="15" t="str">
        <x:f>IF(B79="","",COUNTIF($B$35:B79,B79))</x:f>
      </x:c>
      <x:c r="E79" s="9"/>
      <x:c r="F79" s="9"/>
      <x:c r="G79" s="13" t="str">
        <x:f t="shared" si="3"/>
        <x:v>BELUM DIISI</x:v>
      </x:c>
    </x:row>
    <x:row r="80" ht="30.950000762939453" customHeight="1">
      <x:c r="A80" s="8">
        <x:v>46</x:v>
      </x:c>
      <x:c r="B80" s="14"/>
      <x:c r="C80" s="16"/>
      <x:c r="D80" s="15" t="str">
        <x:f>IF(B80="","",COUNTIF($B$35:B80,B80))</x:f>
      </x:c>
      <x:c r="E80" s="9"/>
      <x:c r="F80" s="9"/>
      <x:c r="G80" s="13" t="str">
        <x:f t="shared" si="3"/>
        <x:v>BELUM DIISI</x:v>
      </x:c>
    </x:row>
    <x:row r="81" ht="30.950000762939453" customHeight="1">
      <x:c r="A81" s="8">
        <x:v>47</x:v>
      </x:c>
      <x:c r="B81" s="14"/>
      <x:c r="C81" s="16"/>
      <x:c r="D81" s="15" t="str">
        <x:f>IF(B81="","",COUNTIF($B$35:B81,B81))</x:f>
      </x:c>
      <x:c r="E81" s="9"/>
      <x:c r="F81" s="9"/>
      <x:c r="G81" s="13" t="str">
        <x:f t="shared" si="3"/>
        <x:v>BELUM DIISI</x:v>
      </x:c>
    </x:row>
    <x:row r="82" ht="30.950000762939453" customHeight="1">
      <x:c r="A82" s="8">
        <x:v>48</x:v>
      </x:c>
      <x:c r="B82" s="14"/>
      <x:c r="C82" s="16"/>
      <x:c r="D82" s="15" t="str">
        <x:f>IF(B82="","",COUNTIF($B$35:B82,B82))</x:f>
      </x:c>
      <x:c r="E82" s="9"/>
      <x:c r="F82" s="9"/>
      <x:c r="G82" s="13" t="str">
        <x:f t="shared" si="3"/>
        <x:v>BELUM DIISI</x:v>
      </x:c>
    </x:row>
    <x:row r="83" ht="30.950000762939453" customHeight="1">
      <x:c r="A83" s="8">
        <x:v>49</x:v>
      </x:c>
      <x:c r="B83" s="14"/>
      <x:c r="C83" s="16"/>
      <x:c r="D83" s="15" t="str">
        <x:f>IF(B83="","",COUNTIF($B$35:B83,B83))</x:f>
      </x:c>
      <x:c r="E83" s="9"/>
      <x:c r="F83" s="9"/>
      <x:c r="G83" s="13" t="str">
        <x:f t="shared" si="3"/>
        <x:v>BELUM DIISI</x:v>
      </x:c>
    </x:row>
    <x:row r="84" ht="30.950000762939453" customHeight="1">
      <x:c r="A84" s="8">
        <x:v>50</x:v>
      </x:c>
      <x:c r="B84" s="14"/>
      <x:c r="C84" s="16"/>
      <x:c r="D84" s="15" t="str">
        <x:f>IF(B84="","",COUNTIF($B$35:B84,B84))</x:f>
      </x:c>
      <x:c r="E84" s="9"/>
      <x:c r="F84" s="9"/>
      <x:c r="G84" s="13" t="str">
        <x:f t="shared" si="3"/>
        <x:v>BELUM DIISI</x:v>
      </x:c>
    </x:row>
    <x:row r="85" ht="30.950000762939453" customHeight="1">
      <x:c r="A85" s="8">
        <x:v>51</x:v>
      </x:c>
      <x:c r="B85" s="14"/>
      <x:c r="C85" s="16"/>
      <x:c r="D85" s="15" t="str">
        <x:f>IF(B85="","",COUNTIF($B$35:B85,B85))</x:f>
      </x:c>
      <x:c r="E85" s="9"/>
      <x:c r="F85" s="9"/>
      <x:c r="G85" s="13" t="str">
        <x:f t="shared" si="3"/>
        <x:v>BELUM DIISI</x:v>
      </x:c>
    </x:row>
    <x:row r="86" ht="30.950000762939453" customHeight="1">
      <x:c r="A86" s="8">
        <x:v>52</x:v>
      </x:c>
      <x:c r="B86" s="14"/>
      <x:c r="C86" s="16"/>
      <x:c r="D86" s="15" t="str">
        <x:f>IF(B86="","",COUNTIF($B$35:B86,B86))</x:f>
      </x:c>
      <x:c r="E86" s="9"/>
      <x:c r="F86" s="9"/>
      <x:c r="G86" s="13" t="str">
        <x:f t="shared" si="3"/>
        <x:v>BELUM DIISI</x:v>
      </x:c>
    </x:row>
    <x:row r="87" ht="30.950000762939453" customHeight="1">
      <x:c r="A87" s="8">
        <x:v>53</x:v>
      </x:c>
      <x:c r="B87" s="14"/>
      <x:c r="C87" s="16"/>
      <x:c r="D87" s="15" t="str">
        <x:f>IF(B87="","",COUNTIF($B$35:B87,B87))</x:f>
      </x:c>
      <x:c r="E87" s="9"/>
      <x:c r="F87" s="9"/>
      <x:c r="G87" s="13" t="str">
        <x:f t="shared" si="3"/>
        <x:v>BELUM DIISI</x:v>
      </x:c>
    </x:row>
    <x:row r="88" ht="30.950000762939453" customHeight="1">
      <x:c r="A88" s="8">
        <x:v>54</x:v>
      </x:c>
      <x:c r="B88" s="14"/>
      <x:c r="C88" s="16"/>
      <x:c r="D88" s="15" t="str">
        <x:f>IF(B88="","",COUNTIF($B$35:B88,B88))</x:f>
      </x:c>
      <x:c r="E88" s="9"/>
      <x:c r="F88" s="9"/>
      <x:c r="G88" s="13" t="str">
        <x:f t="shared" si="3"/>
        <x:v>BELUM DIISI</x:v>
      </x:c>
    </x:row>
    <x:row r="89" ht="30.950000762939453" customHeight="1">
      <x:c r="A89" s="8">
        <x:v>55</x:v>
      </x:c>
      <x:c r="B89" s="14"/>
      <x:c r="C89" s="16"/>
      <x:c r="D89" s="15" t="str">
        <x:f>IF(B89="","",COUNTIF($B$35:B89,B89))</x:f>
      </x:c>
      <x:c r="E89" s="9"/>
      <x:c r="F89" s="9"/>
      <x:c r="G89" s="13" t="str">
        <x:f t="shared" si="3"/>
        <x:v>BELUM DIISI</x:v>
      </x:c>
    </x:row>
    <x:row r="90" ht="30.950000762939453" customHeight="1">
      <x:c r="A90" s="8">
        <x:v>56</x:v>
      </x:c>
      <x:c r="B90" s="14"/>
      <x:c r="C90" s="16"/>
      <x:c r="D90" s="15" t="str">
        <x:f>IF(B90="","",COUNTIF($B$35:B90,B90))</x:f>
      </x:c>
      <x:c r="E90" s="9"/>
      <x:c r="F90" s="9"/>
      <x:c r="G90" s="13" t="str">
        <x:f t="shared" si="3"/>
        <x:v>BELUM DIISI</x:v>
      </x:c>
    </x:row>
    <x:row r="91" ht="30.950000762939453" customHeight="1">
      <x:c r="A91" s="8">
        <x:v>57</x:v>
      </x:c>
      <x:c r="B91" s="14"/>
      <x:c r="C91" s="16"/>
      <x:c r="D91" s="15" t="str">
        <x:f>IF(B91="","",COUNTIF($B$35:B91,B91))</x:f>
      </x:c>
      <x:c r="E91" s="9"/>
      <x:c r="F91" s="9"/>
      <x:c r="G91" s="13" t="str">
        <x:f t="shared" si="3"/>
        <x:v>BELUM DIISI</x:v>
      </x:c>
    </x:row>
    <x:row r="92" ht="30.950000762939453" customHeight="1">
      <x:c r="A92" s="8">
        <x:v>58</x:v>
      </x:c>
      <x:c r="B92" s="14"/>
      <x:c r="C92" s="16"/>
      <x:c r="D92" s="15" t="str">
        <x:f>IF(B92="","",COUNTIF($B$35:B92,B92))</x:f>
      </x:c>
      <x:c r="E92" s="9"/>
      <x:c r="F92" s="9"/>
      <x:c r="G92" s="13" t="str">
        <x:f t="shared" si="3"/>
        <x:v>BELUM DIISI</x:v>
      </x:c>
    </x:row>
    <x:row r="93" ht="30.950000762939453" customHeight="1">
      <x:c r="A93" s="8">
        <x:v>59</x:v>
      </x:c>
      <x:c r="B93" s="14"/>
      <x:c r="C93" s="16"/>
      <x:c r="D93" s="15" t="str">
        <x:f>IF(B93="","",COUNTIF($B$35:B93,B93))</x:f>
      </x:c>
      <x:c r="E93" s="9"/>
      <x:c r="F93" s="9"/>
      <x:c r="G93" s="13" t="str">
        <x:f t="shared" si="3"/>
        <x:v>BELUM DIISI</x:v>
      </x:c>
    </x:row>
    <x:row r="94" ht="30.950000762939453" customHeight="1">
      <x:c r="A94" s="8">
        <x:v>60</x:v>
      </x:c>
      <x:c r="B94" s="14"/>
      <x:c r="C94" s="16"/>
      <x:c r="D94" s="15" t="str">
        <x:f>IF(B94="","",COUNTIF($B$35:B94,B94))</x:f>
      </x:c>
      <x:c r="E94" s="9"/>
      <x:c r="F94" s="9"/>
      <x:c r="G94" s="13" t="str">
        <x:f t="shared" si="3"/>
        <x:v>BELUM DIISI</x:v>
      </x:c>
    </x:row>
    <x:row r="95" ht="9.949999809265137" customHeight="1"/>
    <x:row r="96">
      <x:c r="A96" s="32" t="s">
        <x:v>95</x:v>
      </x:c>
      <x:c r="B96" s="32"/>
      <x:c r="C96" s="32"/>
      <x:c r="D96" s="32"/>
      <x:c r="E96" s="32"/>
      <x:c r="F96" s="32"/>
      <x:c r="G96" s="32"/>
    </x:row>
    <x:row r="97">
      <x:c r="A97" s="32" t="s">
        <x:v>96</x:v>
      </x:c>
      <x:c r="B97" s="32"/>
      <x:c r="C97" s="32"/>
      <x:c r="D97" s="32"/>
      <x:c r="E97" s="32"/>
      <x:c r="F97" s="32"/>
      <x:c r="G97" s="32"/>
    </x:row>
    <x:row r="98" ht="23.100000381469727" customHeight="1"/>
    <x:row r="99" ht="23.100000381469727" customHeight="1"/>
    <x:row r="100" ht="23.100000381469727" customHeight="1"/>
    <x:row r="101" ht="23.100000381469727" customHeight="1"/>
    <x:row r="102" ht="23.100000381469727" customHeight="1"/>
    <x:row r="103" ht="23.100000381469727" customHeight="1"/>
    <x:row r="104" ht="23.100000381469727" customHeight="1"/>
  </x:sheetData>
  <x:mergeCells>
    <x:mergeCell ref="A31:G31"/>
    <x:mergeCell ref="A32:G32"/>
    <x:mergeCell ref="A96:G96"/>
    <x:mergeCell ref="A97:G97"/>
    <x:mergeCell ref="A10:G10"/>
    <x:mergeCell ref="A9:G9"/>
    <x:mergeCell ref="A11:G11"/>
    <x:mergeCell ref="A12:G12"/>
    <x:mergeCell ref="A27:G27"/>
    <x:mergeCell ref="A30:G30"/>
    <x:mergeCell ref="A1:G1"/>
    <x:mergeCell ref="A2:G2"/>
    <x:mergeCell ref="A3:G3"/>
    <x:mergeCell ref="A5:G5"/>
    <x:mergeCell ref="A7:B7"/>
    <x:mergeCell ref="D7:E7"/>
  </x:mergeCells>
  <x:conditionalFormatting sqref="G14:G25">
    <x:cfRule type="expression" dxfId="3" priority="1">
      <x:formula>G14="TERPETAKAN"</x:formula>
    </x:cfRule>
    <x:cfRule type="expression" dxfId="2" priority="2">
      <x:formula>OR(G14="LENGKAPI TP",G14="TAMBAHKAN MATERI")</x:formula>
    </x:cfRule>
  </x:conditionalFormatting>
  <x:conditionalFormatting sqref="G35:G94">
    <x:cfRule type="expression" dxfId="1" priority="3">
      <x:formula>G35="TERPETAKAN"</x:formula>
    </x:cfRule>
    <x:cfRule type="expression" dxfId="0" priority="4">
      <x:formula>OR(G35="LENGKAPI",G35="TP BELUM ADA")</x:formula>
    </x:cfRule>
  </x:conditionalFormatting>
  <x:dataValidations count="2">
    <x:dataValidation type="list" sqref="B35:B94">
      <x:formula1>"1,2,3,4,5,6,7,8,9,10,11,12"</x:formula1>
    </x:dataValidation>
    <x:dataValidation type="list" sqref="E35:E94">
      <x:formula1>"Belum ditentukan,PDF,Video YouTube,Audio,Gambar,Kombinasi"</x:formula1>
    </x:dataValidation>
  </x:dataValidations>
  <x:pageMargins left="0.7" right="0.7" top="0.75" bottom="0.75" header="0.3" footer="0.3"/>
</x:worksheet>
</file>